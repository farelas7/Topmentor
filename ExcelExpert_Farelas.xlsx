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pivotTables/pivotTable2.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avit\OneDrive\Desktop\Farelas Power Bi\"/>
    </mc:Choice>
  </mc:AlternateContent>
  <xr:revisionPtr revIDLastSave="0" documentId="13_ncr:1_{C63A804C-BA0D-4771-B9BA-F5B4A7DFF140}" xr6:coauthVersionLast="47" xr6:coauthVersionMax="47" xr10:uidLastSave="{00000000-0000-0000-0000-000000000000}"/>
  <workbookProtection workbookAlgorithmName="SHA-512" workbookHashValue="1kAQb18a4ZDPZXQfQC9jMCY+/E2ELs3oixGNq6PeoG9ANLtxyDu/x1exTEEF17YX9/zv7LTeRDhSkrRy6HwdMw==" workbookSaltValue="UEQdEOchqLieSvBAcQWtRw==" workbookSpinCount="100000" lockStructure="1"/>
  <bookViews>
    <workbookView xWindow="28680" yWindow="-120" windowWidth="29040" windowHeight="15720" tabRatio="654" firstSheet="15" activeTab="24" xr2:uid="{00000000-000D-0000-FFFF-FFFF00000000}"/>
  </bookViews>
  <sheets>
    <sheet name="PROJECT 1" sheetId="6" r:id="rId1"/>
    <sheet name="Orders" sheetId="1" r:id="rId2"/>
    <sheet name="Products" sheetId="2" r:id="rId3"/>
    <sheet name="Countries" sheetId="4" r:id="rId4"/>
    <sheet name="Warehouse Extension" sheetId="3" r:id="rId5"/>
    <sheet name="Summary Chart" sheetId="5" r:id="rId6"/>
    <sheet name="PROJECT 2" sheetId="7" r:id="rId7"/>
    <sheet name="Team Selector" sheetId="9" r:id="rId8"/>
    <sheet name="Beer Prices" sheetId="8" r:id="rId9"/>
    <sheet name="Price per Ounce" sheetId="10" r:id="rId10"/>
    <sheet name="PROJECT 3" sheetId="12" r:id="rId11"/>
    <sheet name="Indicators" sheetId="13" r:id="rId12"/>
    <sheet name="Region Summary" sheetId="14" r:id="rId13"/>
    <sheet name="PROJECT 4" sheetId="15" r:id="rId14"/>
    <sheet name="Inventory" sheetId="16" r:id="rId15"/>
    <sheet name="Order Tracker" sheetId="17" r:id="rId16"/>
    <sheet name="PROJECT 5" sheetId="18" r:id="rId17"/>
    <sheet name="Product Sales" sheetId="19" r:id="rId18"/>
    <sheet name="Sales by Store" sheetId="21" r:id="rId19"/>
    <sheet name="New Product" sheetId="20" r:id="rId20"/>
    <sheet name="PROJECT 6" sheetId="22" r:id="rId21"/>
    <sheet name="Van Collisions" sheetId="24" r:id="rId22"/>
    <sheet name="Taxi Collisions" sheetId="27" r:id="rId23"/>
    <sheet name="Monthly Trend" sheetId="29" r:id="rId24"/>
    <sheet name="Collision Causes" sheetId="28" r:id="rId25"/>
  </sheets>
  <definedNames>
    <definedName name="_xlnm._FilterDatabase" localSheetId="3" hidden="1">'Countries'!$A$1:$A$15</definedName>
    <definedName name="_xlnm._FilterDatabase" localSheetId="14" hidden="1">Inventory!$A$1:$I$101</definedName>
    <definedName name="_xlnm._FilterDatabase" localSheetId="1" hidden="1">Orders!$A$1:$I$201</definedName>
    <definedName name="_xlnm._FilterDatabase" localSheetId="17" hidden="1">'Product Sales'!$A$1:$G$85</definedName>
    <definedName name="_xlnm._FilterDatabase" localSheetId="2" hidden="1">Products!$A$1:$B$15</definedName>
    <definedName name="_xlnm._FilterDatabase" localSheetId="21" hidden="1">'Van Collisions'!$A$2:$E$230</definedName>
    <definedName name="_xlchart.v5.0" hidden="1">'Countries'!$A$1</definedName>
    <definedName name="_xlchart.v5.1" hidden="1">'Countries'!$A$2:$A$15</definedName>
    <definedName name="_xlchart.v5.2" hidden="1">'Countries'!$B$1</definedName>
    <definedName name="_xlchart.v5.3" hidden="1">'Countries'!$B$2:$B$15</definedName>
  </definedNames>
  <calcPr calcId="191029"/>
  <pivotCaches>
    <pivotCache cacheId="0" r:id="rId26"/>
    <pivotCache cacheId="7" r:id="rId27"/>
    <pivotCache cacheId="2" r:id="rId28"/>
  </pivotCaches>
</workbook>
</file>

<file path=xl/calcChain.xml><?xml version="1.0" encoding="utf-8"?>
<calcChain xmlns="http://schemas.openxmlformats.org/spreadsheetml/2006/main">
  <c r="G87" i="19" l="1"/>
  <c r="F87" i="19"/>
  <c r="G86" i="19"/>
  <c r="F86" i="19"/>
  <c r="G64" i="19"/>
  <c r="F64" i="19"/>
  <c r="G60" i="19"/>
  <c r="F60" i="19"/>
  <c r="G48" i="19"/>
  <c r="F48" i="19"/>
  <c r="G6" i="19"/>
  <c r="F6" i="19"/>
  <c r="B5" i="17"/>
  <c r="G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B5" i="3" l="1"/>
  <c r="L2" i="1" l="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B8" i="20"/>
  <c r="C9" i="9" l="1"/>
  <c r="C8" i="9"/>
  <c r="C11" i="9" l="1"/>
</calcChain>
</file>

<file path=xl/sharedStrings.xml><?xml version="1.0" encoding="utf-8"?>
<sst xmlns="http://schemas.openxmlformats.org/spreadsheetml/2006/main" count="2772" uniqueCount="660">
  <si>
    <t>Country</t>
  </si>
  <si>
    <t>Quantity</t>
  </si>
  <si>
    <t>United Kingdom</t>
  </si>
  <si>
    <t>France</t>
  </si>
  <si>
    <t>Netherlands</t>
  </si>
  <si>
    <t>Germany</t>
  </si>
  <si>
    <t>Norway</t>
  </si>
  <si>
    <t>Switzerland</t>
  </si>
  <si>
    <t>Spain</t>
  </si>
  <si>
    <t>Portugal</t>
  </si>
  <si>
    <t>Italy</t>
  </si>
  <si>
    <t>Belgium</t>
  </si>
  <si>
    <t>Denmark</t>
  </si>
  <si>
    <t>Sweden</t>
  </si>
  <si>
    <t>Finland</t>
  </si>
  <si>
    <t>Austria</t>
  </si>
  <si>
    <t>Order Date</t>
  </si>
  <si>
    <t>Product ID</t>
  </si>
  <si>
    <t>Product Name</t>
  </si>
  <si>
    <t>Unit Price</t>
  </si>
  <si>
    <t>Revenue</t>
  </si>
  <si>
    <t>Client ID</t>
  </si>
  <si>
    <t>Orders</t>
  </si>
  <si>
    <t>Mortgage Payments</t>
  </si>
  <si>
    <t>Loan Balance</t>
  </si>
  <si>
    <t>Annual Interest Rate</t>
  </si>
  <si>
    <t>Term Length (yrs)</t>
  </si>
  <si>
    <t>Monthly Payment</t>
  </si>
  <si>
    <t>Grand Total</t>
  </si>
  <si>
    <t>Jan</t>
  </si>
  <si>
    <t>Feb</t>
  </si>
  <si>
    <t>Mar</t>
  </si>
  <si>
    <t>Apr</t>
  </si>
  <si>
    <t>May</t>
  </si>
  <si>
    <t>Jun</t>
  </si>
  <si>
    <t>Jul</t>
  </si>
  <si>
    <t>Aug</t>
  </si>
  <si>
    <t>Sep</t>
  </si>
  <si>
    <t>Oct</t>
  </si>
  <si>
    <t>Nov</t>
  </si>
  <si>
    <t>Dec</t>
  </si>
  <si>
    <t>Sum of Revenue</t>
  </si>
  <si>
    <t>Order #</t>
  </si>
  <si>
    <t>MLB Beer Prices</t>
  </si>
  <si>
    <t>Price:</t>
  </si>
  <si>
    <t>Team</t>
  </si>
  <si>
    <t>Nickname</t>
  </si>
  <si>
    <t>City</t>
  </si>
  <si>
    <t>Arizona Diamondbacks</t>
  </si>
  <si>
    <t>Diamondbacks</t>
  </si>
  <si>
    <t>Arizona</t>
  </si>
  <si>
    <t>Atlanta Braves</t>
  </si>
  <si>
    <t>Braves</t>
  </si>
  <si>
    <t>Atlanta</t>
  </si>
  <si>
    <t>Baltimore Orioles</t>
  </si>
  <si>
    <t>Orioles</t>
  </si>
  <si>
    <t>Baltimore</t>
  </si>
  <si>
    <t>Boston Red Sox</t>
  </si>
  <si>
    <t>Red Sox</t>
  </si>
  <si>
    <t>Boston</t>
  </si>
  <si>
    <t>Chicago Cubs</t>
  </si>
  <si>
    <t>Cubs</t>
  </si>
  <si>
    <t>Chicago</t>
  </si>
  <si>
    <t>Chicago White Sox</t>
  </si>
  <si>
    <t>White Sox</t>
  </si>
  <si>
    <t>Cincinnati Reds</t>
  </si>
  <si>
    <t>Reds</t>
  </si>
  <si>
    <t>Cincinnati</t>
  </si>
  <si>
    <t>Cleveland Indians</t>
  </si>
  <si>
    <t>Indians</t>
  </si>
  <si>
    <t>Cleveland</t>
  </si>
  <si>
    <t>Colorado Rockies</t>
  </si>
  <si>
    <t>Rockies</t>
  </si>
  <si>
    <t>Colorado</t>
  </si>
  <si>
    <t>Detroit Tigers</t>
  </si>
  <si>
    <t>Tigers</t>
  </si>
  <si>
    <t>Detroit</t>
  </si>
  <si>
    <t>Houston Astros</t>
  </si>
  <si>
    <t>Astros</t>
  </si>
  <si>
    <t>Houston</t>
  </si>
  <si>
    <t>Kansas City Royals</t>
  </si>
  <si>
    <t>Royals</t>
  </si>
  <si>
    <t>Kansas City</t>
  </si>
  <si>
    <t>Los Angeles Angels</t>
  </si>
  <si>
    <t>Angels</t>
  </si>
  <si>
    <t>Anaheim</t>
  </si>
  <si>
    <t>Los Angeles Dodgers</t>
  </si>
  <si>
    <t>Dodgers</t>
  </si>
  <si>
    <t>Los Angeles</t>
  </si>
  <si>
    <t>Miami Marlins</t>
  </si>
  <si>
    <t>Marlins</t>
  </si>
  <si>
    <t>Miami</t>
  </si>
  <si>
    <t>Milwaukee Brewers</t>
  </si>
  <si>
    <t>Brewers</t>
  </si>
  <si>
    <t>Milwaukee</t>
  </si>
  <si>
    <t>Minnesota Twins</t>
  </si>
  <si>
    <t>Twins</t>
  </si>
  <si>
    <t>Minnesota</t>
  </si>
  <si>
    <t>New York Mets</t>
  </si>
  <si>
    <t>Mets</t>
  </si>
  <si>
    <t>New York</t>
  </si>
  <si>
    <t>New York Yankees</t>
  </si>
  <si>
    <t>Yankees</t>
  </si>
  <si>
    <t>Oakland Athletics</t>
  </si>
  <si>
    <t>Athletics</t>
  </si>
  <si>
    <t>Oakland</t>
  </si>
  <si>
    <t>Philadelphia Phillies</t>
  </si>
  <si>
    <t>Phillies</t>
  </si>
  <si>
    <t>Philadelphia</t>
  </si>
  <si>
    <t>Pittsburgh Pirates</t>
  </si>
  <si>
    <t>Pirates</t>
  </si>
  <si>
    <t>Pittsburgh</t>
  </si>
  <si>
    <t>San Diego Padres</t>
  </si>
  <si>
    <t>Padres</t>
  </si>
  <si>
    <t>San Diego</t>
  </si>
  <si>
    <t>San Francisco Giants</t>
  </si>
  <si>
    <t>Giants</t>
  </si>
  <si>
    <t>San Francisco</t>
  </si>
  <si>
    <t>Seattle Mariners</t>
  </si>
  <si>
    <t>Mariners</t>
  </si>
  <si>
    <t>Seattle</t>
  </si>
  <si>
    <t>St. Louis Cardinals</t>
  </si>
  <si>
    <t>Cardinals</t>
  </si>
  <si>
    <t>St. Louis</t>
  </si>
  <si>
    <t>Tampa Bay Rays</t>
  </si>
  <si>
    <t>Rays</t>
  </si>
  <si>
    <t>Tampa</t>
  </si>
  <si>
    <t>Texas Rangers</t>
  </si>
  <si>
    <t>Rangers</t>
  </si>
  <si>
    <t>Arlington</t>
  </si>
  <si>
    <t>Toronto Blue Jays</t>
  </si>
  <si>
    <t>Blue Jays</t>
  </si>
  <si>
    <t>Toronto</t>
  </si>
  <si>
    <t>Washington Nationals</t>
  </si>
  <si>
    <t>Nationals</t>
  </si>
  <si>
    <t>Washington</t>
  </si>
  <si>
    <t>Size</t>
  </si>
  <si>
    <t>Price</t>
  </si>
  <si>
    <t>2013</t>
  </si>
  <si>
    <t>2014</t>
  </si>
  <si>
    <t>2015</t>
  </si>
  <si>
    <t>2016</t>
  </si>
  <si>
    <t>2018</t>
  </si>
  <si>
    <t>Change</t>
  </si>
  <si>
    <t>Region</t>
  </si>
  <si>
    <t>Afghanistan</t>
  </si>
  <si>
    <t>South Asia</t>
  </si>
  <si>
    <t>Albania</t>
  </si>
  <si>
    <t>Europe &amp; Central Asia</t>
  </si>
  <si>
    <t>Algeria</t>
  </si>
  <si>
    <t>Middle East &amp; North Africa</t>
  </si>
  <si>
    <t>Andorra</t>
  </si>
  <si>
    <t>Angola</t>
  </si>
  <si>
    <t>Sub-Saharan Africa</t>
  </si>
  <si>
    <t>Antigua and Barbuda</t>
  </si>
  <si>
    <t>Latin America &amp; Caribbean</t>
  </si>
  <si>
    <t>Argentina</t>
  </si>
  <si>
    <t>Armenia</t>
  </si>
  <si>
    <t>Australia</t>
  </si>
  <si>
    <t>East Asia &amp; Pacific</t>
  </si>
  <si>
    <t>Azerbaijan</t>
  </si>
  <si>
    <t>Bahrain</t>
  </si>
  <si>
    <t>Bangladesh</t>
  </si>
  <si>
    <t>Belarus</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</si>
  <si>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</si>
  <si>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</si>
  <si>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</si>
  <si>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</si>
  <si>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</si>
  <si>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</si>
  <si>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</si>
  <si>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</si>
  <si>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</si>
  <si>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</si>
  <si>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</si>
  <si>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</si>
  <si>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</si>
  <si>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</si>
  <si>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</si>
  <si>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North America</t>
  </si>
  <si>
    <t>Central African Republic</t>
  </si>
  <si>
    <t>Chad</t>
  </si>
  <si>
    <t>Chile</t>
  </si>
  <si>
    <t>China</t>
  </si>
  <si>
    <t>Colombia</t>
  </si>
  <si>
    <t>Comoros</t>
  </si>
  <si>
    <t>Congo, Dem. Rep.</t>
  </si>
  <si>
    <t>Congo, Rep.</t>
  </si>
  <si>
    <t>Costa Rica</t>
  </si>
  <si>
    <t>Cote d'Ivoire</t>
  </si>
  <si>
    <t>Croatia</t>
  </si>
  <si>
    <t>Cyprus</t>
  </si>
  <si>
    <t>Czech Republic</t>
  </si>
  <si>
    <t>Djibouti</t>
  </si>
  <si>
    <t>Dominica</t>
  </si>
  <si>
    <t>Dominican Republic</t>
  </si>
  <si>
    <t>Ecuador</t>
  </si>
  <si>
    <t>Egypt, Arab Rep.</t>
  </si>
  <si>
    <t>El Salvador</t>
  </si>
  <si>
    <t>Equatorial Guinea</t>
  </si>
  <si>
    <t>Estonia</t>
  </si>
  <si>
    <t>Eswatini</t>
  </si>
  <si>
    <t>Ethiopia</t>
  </si>
  <si>
    <t>Fiji</t>
  </si>
  <si>
    <t>Gabon</t>
  </si>
  <si>
    <t>Gambia, The</t>
  </si>
  <si>
    <t>Georgia</t>
  </si>
  <si>
    <t>Ghana</t>
  </si>
  <si>
    <t>Greece</t>
  </si>
  <si>
    <t>Grenada</t>
  </si>
  <si>
    <t>Guatemala</t>
  </si>
  <si>
    <t>Guinea</t>
  </si>
  <si>
    <t>Guinea-Bissau</t>
  </si>
  <si>
    <t>Guyana</t>
  </si>
  <si>
    <t>Haiti</t>
  </si>
  <si>
    <t>Honduras</t>
  </si>
  <si>
    <t>Hong Kong SAR, China</t>
  </si>
  <si>
    <t>Hungary</t>
  </si>
  <si>
    <t>Iceland</t>
  </si>
  <si>
    <t>India</t>
  </si>
  <si>
    <t>Indonesia</t>
  </si>
  <si>
    <t>Iraq</t>
  </si>
  <si>
    <t>Ireland</t>
  </si>
  <si>
    <t>Israel</t>
  </si>
  <si>
    <t>Jamaica</t>
  </si>
  <si>
    <t>Japan</t>
  </si>
  <si>
    <t>Jordan</t>
  </si>
  <si>
    <t>Kazakhstan</t>
  </si>
  <si>
    <t>Kenya</t>
  </si>
  <si>
    <t>Kiribati</t>
  </si>
  <si>
    <t>Korea, Rep.</t>
  </si>
  <si>
    <t>Kuwait</t>
  </si>
  <si>
    <t>Kyrgyz Republic</t>
  </si>
  <si>
    <t>Latvia</t>
  </si>
  <si>
    <t>Lebanon</t>
  </si>
  <si>
    <t>Lesotho</t>
  </si>
  <si>
    <t>Liberia</t>
  </si>
  <si>
    <t>Libya</t>
  </si>
  <si>
    <t>Lithuania</t>
  </si>
  <si>
    <t>Luxembourg</t>
  </si>
  <si>
    <t>Macao SAR, China</t>
  </si>
  <si>
    <t>Madagascar</t>
  </si>
  <si>
    <t>Malawi</t>
  </si>
  <si>
    <t>Malaysia</t>
  </si>
  <si>
    <t>Maldives</t>
  </si>
  <si>
    <t>Mali</t>
  </si>
  <si>
    <t>Malta</t>
  </si>
  <si>
    <t>Marshall Islands</t>
  </si>
  <si>
    <t>Mauritania</t>
  </si>
  <si>
    <t>Mauritius</t>
  </si>
  <si>
    <t>Mexico</t>
  </si>
  <si>
    <t>Moldova</t>
  </si>
  <si>
    <t>Mongolia</t>
  </si>
  <si>
    <t>Montenegro</t>
  </si>
  <si>
    <t>Morocco</t>
  </si>
  <si>
    <t>Mozambique</t>
  </si>
  <si>
    <t>Myanmar</t>
  </si>
  <si>
    <t>Namibia</t>
  </si>
  <si>
    <t>Nepal</t>
  </si>
  <si>
    <t>New Zealand</t>
  </si>
  <si>
    <t>Nicaragua</t>
  </si>
  <si>
    <t>Niger</t>
  </si>
  <si>
    <t>Nigeria</t>
  </si>
  <si>
    <t>North Macedonia</t>
  </si>
  <si>
    <t>Oman</t>
  </si>
  <si>
    <t>Pakistan</t>
  </si>
  <si>
    <t>Palau</t>
  </si>
  <si>
    <t>Panama</t>
  </si>
  <si>
    <t>Papua New Guinea</t>
  </si>
  <si>
    <t>Paraguay</t>
  </si>
  <si>
    <t>Peru</t>
  </si>
  <si>
    <t>Philippines</t>
  </si>
  <si>
    <t>Poland</t>
  </si>
  <si>
    <t>Puerto Rico</t>
  </si>
  <si>
    <t>Qatar</t>
  </si>
  <si>
    <t>Romania</t>
  </si>
  <si>
    <t>Russian Federation</t>
  </si>
  <si>
    <t>Rwanda</t>
  </si>
  <si>
    <t>Samoa</t>
  </si>
  <si>
    <t>Sao Tome and Principe</t>
  </si>
  <si>
    <t>Saudi Arabia</t>
  </si>
  <si>
    <t>Senegal</t>
  </si>
  <si>
    <t>Serbia</t>
  </si>
  <si>
    <t>Seychelles</t>
  </si>
  <si>
    <t>Sierra Leone</t>
  </si>
  <si>
    <t>Singapore</t>
  </si>
  <si>
    <t>Slovak Republic</t>
  </si>
  <si>
    <t>Slovenia</t>
  </si>
  <si>
    <t>Solomon Islands</t>
  </si>
  <si>
    <t>Somalia</t>
  </si>
  <si>
    <t>South Africa</t>
  </si>
  <si>
    <t>Sri Lanka</t>
  </si>
  <si>
    <t>St. Kitts and Nevis</t>
  </si>
  <si>
    <t>St. Lucia</t>
  </si>
  <si>
    <t>St. Vincent and the Grenadines</t>
  </si>
  <si>
    <t>Suriname</t>
  </si>
  <si>
    <t>Tajikistan</t>
  </si>
  <si>
    <t>Tanzania</t>
  </si>
  <si>
    <t>Thailand</t>
  </si>
  <si>
    <t>Timor-Leste</t>
  </si>
  <si>
    <t>Togo</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</si>
  <si>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</si>
  <si>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</si>
  <si>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</si>
  <si>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</si>
  <si>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</si>
  <si>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</si>
  <si>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</si>
  <si>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</si>
  <si>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</si>
  <si>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</si>
  <si>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</si>
  <si>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</si>
  <si>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</si>
  <si>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</si>
  <si>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Vietnam</t>
  </si>
  <si>
    <t>Yemen, Rep.</t>
  </si>
  <si>
    <t>Zambia</t>
  </si>
  <si>
    <t>Zimbabwe</t>
  </si>
  <si>
    <t>Population</t>
  </si>
  <si>
    <t>Sum of Population</t>
  </si>
  <si>
    <t>Area</t>
  </si>
  <si>
    <t>Sum of Area</t>
  </si>
  <si>
    <t>Province</t>
  </si>
  <si>
    <t>Winery</t>
  </si>
  <si>
    <t>Variety</t>
  </si>
  <si>
    <t>Name</t>
  </si>
  <si>
    <t>US</t>
  </si>
  <si>
    <t>Cadence</t>
  </si>
  <si>
    <t>Bordeaux Red</t>
  </si>
  <si>
    <t>Cadence (2013) Coda</t>
  </si>
  <si>
    <t>Cadence (2012) Coda</t>
  </si>
  <si>
    <t>Cadence (2015) Coda</t>
  </si>
  <si>
    <t>Cadence (2014) Coda</t>
  </si>
  <si>
    <t>Loire Valley</t>
  </si>
  <si>
    <t>Henri Bourgeois</t>
  </si>
  <si>
    <t>Sauvignon Blanc</t>
  </si>
  <si>
    <t xml:space="preserve">Henri Bourgeois (2010) Jadis </t>
  </si>
  <si>
    <t xml:space="preserve">Henri Bourgeois (2012) Jadis </t>
  </si>
  <si>
    <t xml:space="preserve">Henri Bourgeois (2014) Jadis </t>
  </si>
  <si>
    <t>Burgundy</t>
  </si>
  <si>
    <t>Louis Latour</t>
  </si>
  <si>
    <t>Chardonnay</t>
  </si>
  <si>
    <t xml:space="preserve">Louis Latour (2009) Charmes </t>
  </si>
  <si>
    <t>Cadence (2013) Ciel du Cheval</t>
  </si>
  <si>
    <t xml:space="preserve">Louis Latour (2008) Genievres </t>
  </si>
  <si>
    <t>Pinot Noir</t>
  </si>
  <si>
    <t xml:space="preserve">Louis Latour (2009) En Chevret </t>
  </si>
  <si>
    <t xml:space="preserve">Louis Latour (2012) En Paradis </t>
  </si>
  <si>
    <t xml:space="preserve">Louis Latour (2014) En Paradis </t>
  </si>
  <si>
    <t xml:space="preserve">Louis Latour (2009) La Garenne </t>
  </si>
  <si>
    <t xml:space="preserve">Louis Latour (2009) Les Damodes </t>
  </si>
  <si>
    <t>Cadence (2012) Tapteil</t>
  </si>
  <si>
    <t>Cadence (2014) Tapteil</t>
  </si>
  <si>
    <t>Cadence (2013) Tapteil</t>
  </si>
  <si>
    <t>Cadence (2011) Tapteil</t>
  </si>
  <si>
    <t xml:space="preserve">Henri Bourgeois (2012) En Travertin </t>
  </si>
  <si>
    <t xml:space="preserve">Henri Bourgeois (2015) En Travertin </t>
  </si>
  <si>
    <t>Bordeaux</t>
  </si>
  <si>
    <t>Cheval Quancard</t>
  </si>
  <si>
    <t xml:space="preserve">Cheval Quancard (2010) Fleur de Roc </t>
  </si>
  <si>
    <t xml:space="preserve">Cheval Quancard (2015) Fleur du Roc </t>
  </si>
  <si>
    <t xml:space="preserve">Henri Bourgeois (2014) Les Baronnes </t>
  </si>
  <si>
    <t xml:space="preserve">Henri Bourgeois (2012) Les Baronnes </t>
  </si>
  <si>
    <t xml:space="preserve">Henri Bourgeois (2015) Les Baronnes </t>
  </si>
  <si>
    <t xml:space="preserve">Henri Bourgeois (2016) Les Baronnes </t>
  </si>
  <si>
    <t xml:space="preserve">Henri Bourgeois (2013) Les Baronnes </t>
  </si>
  <si>
    <t>Cheval Quancard (2009) Chai de Bordes</t>
  </si>
  <si>
    <t>Cheval Quancard (2010) Chai de Bordes</t>
  </si>
  <si>
    <t>Cheval Quancard (2012) Chai de Bordes</t>
  </si>
  <si>
    <t>Cheval Quancard (2014) Chai de Bordes</t>
  </si>
  <si>
    <t xml:space="preserve">Henri Bourgeois (2011) Etienne Henri </t>
  </si>
  <si>
    <t xml:space="preserve">Henri Bourgeois (2014) Etienne Henri </t>
  </si>
  <si>
    <t xml:space="preserve">Henri Bourgeois (2013) Etienne Henri </t>
  </si>
  <si>
    <t xml:space="preserve">Henri Bourgeois (2009) La Bourgeoise </t>
  </si>
  <si>
    <t xml:space="preserve">Henri Bourgeois (2014) La Bourgeoise </t>
  </si>
  <si>
    <t xml:space="preserve">Henri Bourgeois (2013) La Bourgeoise </t>
  </si>
  <si>
    <t xml:space="preserve">Henri Bourgeois (2012) La Bourgeoise </t>
  </si>
  <si>
    <t xml:space="preserve">Louis Latour (2014) Le Montrachet </t>
  </si>
  <si>
    <t xml:space="preserve">Louis Latour (2009) Les Chatelots </t>
  </si>
  <si>
    <t xml:space="preserve">Cheval Quancard (2015) Chai de Bordes </t>
  </si>
  <si>
    <t>Louis Latour (2008) Clos de Vougeot</t>
  </si>
  <si>
    <t>Louis Latour (2005) Clos de Vougeot</t>
  </si>
  <si>
    <t>Louis Latour (2010) Clos de Vougeot</t>
  </si>
  <si>
    <t>Louis Latour (2011) Clos de Vougeot</t>
  </si>
  <si>
    <t>Louis Latour (2014) Clos de Vougeot</t>
  </si>
  <si>
    <t xml:space="preserve">Louis Latour (2005) Domaine Latour </t>
  </si>
  <si>
    <t xml:space="preserve">Louis Latour (2015) Domaine Latour </t>
  </si>
  <si>
    <t xml:space="preserve">Henri Bourgeois (2015) Haute Victoire </t>
  </si>
  <si>
    <t xml:space="preserve">Henri Bourgeois (2014) Haute Victoire </t>
  </si>
  <si>
    <t xml:space="preserve">Henri Bourgeois (2011) Sancerre Jadis </t>
  </si>
  <si>
    <t xml:space="preserve">Louis Latour (2009) Les Demoiselles </t>
  </si>
  <si>
    <t xml:space="preserve">Louis Latour (2011) Les Demoiselles </t>
  </si>
  <si>
    <t xml:space="preserve">Louis Latour (2015) Les Demoiselles </t>
  </si>
  <si>
    <t>Louis Latour (2008) Batard-Montrachet</t>
  </si>
  <si>
    <t>Louis Latour (2015) Batard-Montrachet</t>
  </si>
  <si>
    <t>Louis Latour (2014) Batard-Montrachet</t>
  </si>
  <si>
    <t>Louis Latour (2009) Batard-Montrachet</t>
  </si>
  <si>
    <t xml:space="preserve">Cheval Quancard (2014) Fortin Plaisance </t>
  </si>
  <si>
    <t xml:space="preserve">Louis Latour (2012) Les Deux Moulins </t>
  </si>
  <si>
    <t xml:space="preserve">Cheval Quancard (2014) Monfort Bellevue </t>
  </si>
  <si>
    <t xml:space="preserve">Cheval Quancard (2009) Monfort Bellevue </t>
  </si>
  <si>
    <t>Louis Latour (2005) Morey-Saint-Denis</t>
  </si>
  <si>
    <t>Louis Latour (2015) Morey-Saint-Denis</t>
  </si>
  <si>
    <t>Louis Latour (2014) Morey-Saint-Denis</t>
  </si>
  <si>
    <t>Louis Latour (2015) Nuits-St.-Georges</t>
  </si>
  <si>
    <t>Louis Latour (2012) Nuits-St.-Georges</t>
  </si>
  <si>
    <t xml:space="preserve">Henri Bourgeois (2011) Sancerre d'Antan </t>
  </si>
  <si>
    <t xml:space="preserve">Henri Bourgeois (2012) Sancerre d'Antan </t>
  </si>
  <si>
    <t xml:space="preserve">Henri Bourgeois (2009) Sancerre d'Antan </t>
  </si>
  <si>
    <t xml:space="preserve">Louis Latour (2009) Charmes Chambertin </t>
  </si>
  <si>
    <t xml:space="preserve">Cheval Quancard (2010) Prestige de Bordes </t>
  </si>
  <si>
    <t xml:space="preserve">Louis Latour (2008) Charmes Premier Cru </t>
  </si>
  <si>
    <t xml:space="preserve">Louis Latour (2011) Epenots Premier Cru </t>
  </si>
  <si>
    <t xml:space="preserve">Louis Latour (2014) Epenots Premier Cru </t>
  </si>
  <si>
    <t xml:space="preserve">Louis Latour (2009) Les Quatre Journaux </t>
  </si>
  <si>
    <t xml:space="preserve">Louis Latour (2014) Les Quatre Journaux </t>
  </si>
  <si>
    <t xml:space="preserve">Louis Latour (2015) Les Quatre Journaux </t>
  </si>
  <si>
    <t xml:space="preserve">Louis Latour (2011) Morgeot Premier Cru </t>
  </si>
  <si>
    <t xml:space="preserve">Louis Latour (2010) Morgeot Premier Cru </t>
  </si>
  <si>
    <t xml:space="preserve">Louis Latour (2015) Morgeot Premier Cru </t>
  </si>
  <si>
    <t>Cadence (2011) Cara Mia</t>
  </si>
  <si>
    <t>Cadence (2013) Cara Mia</t>
  </si>
  <si>
    <t>Cadence (2014) Cara Mia</t>
  </si>
  <si>
    <t>Cadence (2012) Cara Mia</t>
  </si>
  <si>
    <t xml:space="preserve">Louis Latour (2011) Caradeux Premier Cru </t>
  </si>
  <si>
    <t xml:space="preserve">Henri Bourgeois (2008) Le M.D. de Bourgeois </t>
  </si>
  <si>
    <t>Canoe Ridge</t>
  </si>
  <si>
    <t>Merlot</t>
  </si>
  <si>
    <t>Canoe Ridge (2013) The Expedition</t>
  </si>
  <si>
    <t>Canoe Ridge (2014) The Expedition</t>
  </si>
  <si>
    <t>Order Tracker</t>
  </si>
  <si>
    <t>Purchase Date:</t>
  </si>
  <si>
    <t>Shipment Time (business days):</t>
  </si>
  <si>
    <t>Arrival Date:</t>
  </si>
  <si>
    <t>Order ID:</t>
  </si>
  <si>
    <t>555-123</t>
  </si>
  <si>
    <t>Stock On Hand</t>
  </si>
  <si>
    <t>Reorder Quantity</t>
  </si>
  <si>
    <t>Year</t>
  </si>
  <si>
    <t>Whole Bean/Teas</t>
  </si>
  <si>
    <t>Coffee beans</t>
  </si>
  <si>
    <t>Organic Beans</t>
  </si>
  <si>
    <t>Brazilian - Organic</t>
  </si>
  <si>
    <t>House blend Beans</t>
  </si>
  <si>
    <t>Our Old Time Diner Blend</t>
  </si>
  <si>
    <t>Espresso Beans</t>
  </si>
  <si>
    <t>Espresso Roast</t>
  </si>
  <si>
    <t>Primo Espresso Roast</t>
  </si>
  <si>
    <t>Gourmet Beans</t>
  </si>
  <si>
    <t>Columbian Medium Roast</t>
  </si>
  <si>
    <t>Premium Beans</t>
  </si>
  <si>
    <t>Jamacian Coffee River</t>
  </si>
  <si>
    <t>Civet Cat</t>
  </si>
  <si>
    <t>Organic Decaf Blend</t>
  </si>
  <si>
    <t>Green beans</t>
  </si>
  <si>
    <t>Guatemalan Sustainably Grown</t>
  </si>
  <si>
    <t>Loose Tea</t>
  </si>
  <si>
    <t>Herbal tea</t>
  </si>
  <si>
    <t>Lemon Grass</t>
  </si>
  <si>
    <t>Peppermint</t>
  </si>
  <si>
    <t>Black tea</t>
  </si>
  <si>
    <t>English Breakfast</t>
  </si>
  <si>
    <t>Earl Grey</t>
  </si>
  <si>
    <t>Green tea</t>
  </si>
  <si>
    <t>Serenity Green Tea</t>
  </si>
  <si>
    <t>Chai tea</t>
  </si>
  <si>
    <t>Traditional Blend Chai</t>
  </si>
  <si>
    <t>Morning Sunrise Chai</t>
  </si>
  <si>
    <t>Spicy Eye Opener Chai</t>
  </si>
  <si>
    <t>Packaged Chocolate</t>
  </si>
  <si>
    <t>Drinking Chocolate</t>
  </si>
  <si>
    <t>Dark chocolate</t>
  </si>
  <si>
    <t>Organic Chocolate</t>
  </si>
  <si>
    <t>Sustainably Grown Organic</t>
  </si>
  <si>
    <t>Chili Mayan</t>
  </si>
  <si>
    <t>Beverages</t>
  </si>
  <si>
    <t>Coffee</t>
  </si>
  <si>
    <t>Drip coffee</t>
  </si>
  <si>
    <t>Our Old Time Diner Blend Sm</t>
  </si>
  <si>
    <t>Our Old Time Diner Blend Rg</t>
  </si>
  <si>
    <t>Our Old Time Diner Blend Lg</t>
  </si>
  <si>
    <t>Organic brewed coffee</t>
  </si>
  <si>
    <t>Brazilian Sm</t>
  </si>
  <si>
    <t>Brazilian Rg</t>
  </si>
  <si>
    <t>Brazilian Lg</t>
  </si>
  <si>
    <t>Gourmet brewed coffee</t>
  </si>
  <si>
    <t>Columbian Medium Roast Sm</t>
  </si>
  <si>
    <t>Columbian Medium Roast Rg</t>
  </si>
  <si>
    <t>Columbian Medium Roast Lg</t>
  </si>
  <si>
    <t>Ethiopia Sm</t>
  </si>
  <si>
    <t>Ethiopia Rg</t>
  </si>
  <si>
    <t>Ethiopia Lg</t>
  </si>
  <si>
    <t>Premium brewed coffee</t>
  </si>
  <si>
    <t>Jamaican Coffee River Sm</t>
  </si>
  <si>
    <t>Jamaican Coffee River Rg</t>
  </si>
  <si>
    <t>Jamaican Coffee River Lg</t>
  </si>
  <si>
    <t>Barista Espresso</t>
  </si>
  <si>
    <t>Espresso shot</t>
  </si>
  <si>
    <t>Latte</t>
  </si>
  <si>
    <t>Latte Rg</t>
  </si>
  <si>
    <t>Cappuccino</t>
  </si>
  <si>
    <t>Cappuccino Lg</t>
  </si>
  <si>
    <t>Tea</t>
  </si>
  <si>
    <t>Brewed herbal tea</t>
  </si>
  <si>
    <t>Lemon Grass Rg</t>
  </si>
  <si>
    <t>Lemon Grass Lg</t>
  </si>
  <si>
    <t>Peppermint Rg</t>
  </si>
  <si>
    <t>Peppermint Lg</t>
  </si>
  <si>
    <t>Brewed Green tea</t>
  </si>
  <si>
    <t>Serenity Green Tea Rg</t>
  </si>
  <si>
    <t>Serenity Green Tea Lg</t>
  </si>
  <si>
    <t>Brewed Black tea</t>
  </si>
  <si>
    <t>English Breakfast Rg</t>
  </si>
  <si>
    <t>English Breakfast Lg</t>
  </si>
  <si>
    <t>Earl Grey Rg</t>
  </si>
  <si>
    <t>Earl Grey Lg</t>
  </si>
  <si>
    <t>Brewed Chai tea</t>
  </si>
  <si>
    <t>Traditional Blend Chai Rg</t>
  </si>
  <si>
    <t>Traditional Blend Chai Lg</t>
  </si>
  <si>
    <t>Morning Sunrise Chai Rg</t>
  </si>
  <si>
    <t>Morning Sunrise Chai Lg</t>
  </si>
  <si>
    <t>Spicy Eye Opener Chai Rg</t>
  </si>
  <si>
    <t>Spicy Eye Opener Chai Lg</t>
  </si>
  <si>
    <t>Hot chocolate</t>
  </si>
  <si>
    <t>Dark chocolate Rg</t>
  </si>
  <si>
    <t>Dark chocolate Lg</t>
  </si>
  <si>
    <t>Sustainably Grown Organic Rg</t>
  </si>
  <si>
    <t>Sustainably Grown Organic Lg</t>
  </si>
  <si>
    <t>Add-ons</t>
  </si>
  <si>
    <t>Flavours</t>
  </si>
  <si>
    <t>Regular syrup</t>
  </si>
  <si>
    <t>Carmel syrup</t>
  </si>
  <si>
    <t>Hazelnut syrup</t>
  </si>
  <si>
    <t>Sugar free syrup</t>
  </si>
  <si>
    <t>Sugar Free Vanilla syrup</t>
  </si>
  <si>
    <t>Food</t>
  </si>
  <si>
    <t>Bakery</t>
  </si>
  <si>
    <t>Pastry</t>
  </si>
  <si>
    <t>Croissant</t>
  </si>
  <si>
    <t>Scone</t>
  </si>
  <si>
    <t>Cranberry Scone</t>
  </si>
  <si>
    <t>Chocolate Croissant</t>
  </si>
  <si>
    <t>Ginger Scone</t>
  </si>
  <si>
    <t>Almond Croissant</t>
  </si>
  <si>
    <t>Biscotti</t>
  </si>
  <si>
    <t>Ginger Biscotti</t>
  </si>
  <si>
    <t>Hazelnut Biscotti</t>
  </si>
  <si>
    <t>Chocolate Chip Biscotti</t>
  </si>
  <si>
    <t>Oatmeal Scone</t>
  </si>
  <si>
    <t xml:space="preserve">Scottish Cream Scone </t>
  </si>
  <si>
    <t>Jumbo Savory Scone</t>
  </si>
  <si>
    <t>Merchandise</t>
  </si>
  <si>
    <t>Branded</t>
  </si>
  <si>
    <t>Clothing</t>
  </si>
  <si>
    <t>I Need My Bean! T-shirt</t>
  </si>
  <si>
    <t>Housewares</t>
  </si>
  <si>
    <t>I Need My Bean! Diner mug</t>
  </si>
  <si>
    <t>I Need My Bean! Latte cup</t>
  </si>
  <si>
    <t>Chocolate syrup</t>
  </si>
  <si>
    <t>Ouro Brasileiro shot</t>
  </si>
  <si>
    <t>Product Group</t>
  </si>
  <si>
    <t>Product Category</t>
  </si>
  <si>
    <t>Product Type</t>
  </si>
  <si>
    <t>Units Sold</t>
  </si>
  <si>
    <t>Total Sales</t>
  </si>
  <si>
    <t>Fixed Costs:</t>
  </si>
  <si>
    <t>Rocky Roast Premium Beans</t>
  </si>
  <si>
    <t>Variable Costs:</t>
  </si>
  <si>
    <t>Profit:</t>
  </si>
  <si>
    <t>Q1</t>
  </si>
  <si>
    <t>Q2</t>
  </si>
  <si>
    <t>Q3</t>
  </si>
  <si>
    <t>Q4</t>
  </si>
  <si>
    <t>Astoria Store</t>
  </si>
  <si>
    <t>Lower Manhattan Store</t>
  </si>
  <si>
    <t>Hell's Kitchen Store</t>
  </si>
  <si>
    <t>NYC Totals</t>
  </si>
  <si>
    <t>Units Sold:</t>
  </si>
  <si>
    <t>Date</t>
  </si>
  <si>
    <t>Time</t>
  </si>
  <si>
    <t>District</t>
  </si>
  <si>
    <t># of Persons Injured</t>
  </si>
  <si>
    <t>Collision Cause</t>
  </si>
  <si>
    <t>Vehicle</t>
  </si>
  <si>
    <t>Unsafe Speed</t>
  </si>
  <si>
    <t>Sedan</t>
  </si>
  <si>
    <t>Driver Inattention/Distraction</t>
  </si>
  <si>
    <t>Passing Too Closely</t>
  </si>
  <si>
    <t>Ambulance</t>
  </si>
  <si>
    <t>Unspecified</t>
  </si>
  <si>
    <t>Bike</t>
  </si>
  <si>
    <t>Unsafe Lane Changing</t>
  </si>
  <si>
    <t>Traffic Control Disregarded</t>
  </si>
  <si>
    <t>Fatigued/Drowsy</t>
  </si>
  <si>
    <t>View Obstructed/Limited</t>
  </si>
  <si>
    <t>Pedestrian/Bicyclist/Other Pedestrian Error/Confusion</t>
  </si>
  <si>
    <t>Brakes Defective</t>
  </si>
  <si>
    <t>Box Truck</t>
  </si>
  <si>
    <t>Backing Unsafely</t>
  </si>
  <si>
    <t>Oversized Vehicle</t>
  </si>
  <si>
    <t>Bus</t>
  </si>
  <si>
    <t>Following Too Closely</t>
  </si>
  <si>
    <t>Concrete Mixer</t>
  </si>
  <si>
    <t>Passing or Lane Usage Improper</t>
  </si>
  <si>
    <t>Dump</t>
  </si>
  <si>
    <t>Reaction to Uninvolved Vehicle</t>
  </si>
  <si>
    <t>E-Bike</t>
  </si>
  <si>
    <t>Pick-up Truck</t>
  </si>
  <si>
    <t>Other Vehicular</t>
  </si>
  <si>
    <t>Moped</t>
  </si>
  <si>
    <t>Failure to Yield Right-of-Way</t>
  </si>
  <si>
    <t>Pavement Slippery</t>
  </si>
  <si>
    <t>Alcohol Involvement</t>
  </si>
  <si>
    <t>Aggressive Driving/Road Rage</t>
  </si>
  <si>
    <t>Driverless/Runaway Vehicle</t>
  </si>
  <si>
    <t>Turning Improperly</t>
  </si>
  <si>
    <t>Driver Inexperience</t>
  </si>
  <si>
    <t>Station Wagon</t>
  </si>
  <si>
    <t>Outside Car Distraction</t>
  </si>
  <si>
    <t>Illnes</t>
  </si>
  <si>
    <t>Fell Asleep</t>
  </si>
  <si>
    <t>Taxi</t>
  </si>
  <si>
    <t>Trailer</t>
  </si>
  <si>
    <t>Van</t>
  </si>
  <si>
    <t>Sum of # of Persons Injured</t>
  </si>
  <si>
    <t>Van Collisions in NYC</t>
  </si>
  <si>
    <t>Passenger Distraction</t>
  </si>
  <si>
    <t>E-Scooter</t>
  </si>
  <si>
    <t>Taxi Collisions in NYC</t>
  </si>
  <si>
    <t>Month</t>
  </si>
  <si>
    <t>Collisions</t>
  </si>
  <si>
    <t>Injury %</t>
  </si>
  <si>
    <t>Price per Ounce</t>
  </si>
  <si>
    <t>Jumbo Bag Owls</t>
  </si>
  <si>
    <t>Space Frog</t>
  </si>
  <si>
    <t>Owl Doorstop</t>
  </si>
  <si>
    <t>First Aid Tin</t>
  </si>
  <si>
    <t>Bingo Set</t>
  </si>
  <si>
    <t>Photo Cube</t>
  </si>
  <si>
    <t>Local Cafe Mug</t>
  </si>
  <si>
    <t>Popcorn Holder</t>
  </si>
  <si>
    <t xml:space="preserve">Button Box </t>
  </si>
  <si>
    <t xml:space="preserve">Wicker Star </t>
  </si>
  <si>
    <t>Polkadot Pen</t>
  </si>
  <si>
    <t>Funky Diva Pen</t>
  </si>
  <si>
    <t>Bathroom Hook</t>
  </si>
  <si>
    <t xml:space="preserve">Sombrero </t>
  </si>
  <si>
    <t>Months</t>
  </si>
  <si>
    <t>Manhattan</t>
  </si>
  <si>
    <t>Brooklyn</t>
  </si>
  <si>
    <t>Bronx</t>
  </si>
  <si>
    <t>Queens</t>
  </si>
  <si>
    <t>Staten Island</t>
  </si>
  <si>
    <t>Sum of Population Density</t>
  </si>
  <si>
    <t>Add-ons Total</t>
  </si>
  <si>
    <t>Beverages Total</t>
  </si>
  <si>
    <t>Food Total</t>
  </si>
  <si>
    <t>Merchandise Total</t>
  </si>
  <si>
    <t>Whole Bean/Teas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</si>
</sst>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164" formatCode="yyyy\-mm\-dd;@"/>
    <numFmt numFmtId="165" formatCode="&quot;$&quot;#,##0.00"/>
    <numFmt numFmtId="166" formatCode="0.0%"/>
    <numFmt numFmtId="167" formatCode="&quot;$&quot;#,##0"/>
    <numFmt numFmtId="168" formatCode="hh:mm:ss"/>
    <numFmt numFmtId="169" formatCode="&quot;$&quot;#,##0\);[Red]\(&quot;$&quot;#,##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
      <b/>
      <sz val="20"/>
      <color theme="1"/>
      <name val="Calibri"/>
      <family val="2"/>
      <scheme val="minor"/>
    </font>
    <font>
      <b/>
      <sz val="14"/>
      <name val="Calibri"/>
      <family val="2"/>
      <scheme val="minor"/>
    </font>
    <font>
      <sz val="8"/>
      <name val="Calibri"/>
      <family val="2"/>
      <scheme val="minor"/>
    </font>
    <font>
      <b/>
      <sz val="14"/>
      <color theme="1"/>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A80000"/>
        <bgColor indexed="64"/>
      </patternFill>
    </fill>
    <fill>
      <patternFill patternType="solid">
        <fgColor theme="9"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theme="3"/>
      </left>
      <right/>
      <top style="thin">
        <color theme="3"/>
      </top>
      <bottom/>
      <diagonal/>
    </border>
    <border>
      <left/>
      <right style="thin">
        <color theme="3"/>
      </right>
      <top style="thin">
        <color theme="3"/>
      </top>
      <bottom/>
      <diagonal/>
    </border>
    <border>
      <left style="thin">
        <color theme="3"/>
      </left>
      <right/>
      <top/>
      <bottom style="thin">
        <color theme="3"/>
      </bottom>
      <diagonal/>
    </border>
    <border>
      <left/>
      <right style="thin">
        <color theme="3"/>
      </right>
      <top/>
      <bottom style="thin">
        <color theme="3"/>
      </bottom>
      <diagonal/>
    </border>
    <border>
      <left/>
      <right/>
      <top/>
      <bottom style="medium">
        <color theme="5" tint="-0.249977111117893"/>
      </bottom>
      <diagonal/>
    </border>
    <border>
      <left style="medium">
        <color theme="0"/>
      </left>
      <right style="medium">
        <color theme="0"/>
      </right>
      <top style="medium">
        <color theme="0"/>
      </top>
      <bottom style="medium">
        <color theme="0"/>
      </bottom>
      <diagonal/>
    </border>
    <border>
      <left style="medium">
        <color theme="0"/>
      </left>
      <right style="medium">
        <color theme="0"/>
      </right>
      <top/>
      <bottom style="medium">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0" borderId="0" xfId="0" applyAlignment="1">
      <alignment horizontal="center"/>
    </xf>
    <xf numFmtId="164" fontId="0" fillId="0" borderId="0" xfId="0" applyNumberFormat="1" applyAlignment="1">
      <alignment horizontal="center"/>
    </xf>
    <xf numFmtId="0" fontId="13" fillId="33" borderId="0" xfId="0" applyFont="1" applyFill="1" applyAlignment="1">
      <alignment horizontal="center"/>
    </xf>
    <xf numFmtId="0" fontId="18" fillId="0" borderId="0" xfId="0" applyFont="1" applyAlignment="1">
      <alignment horizontal="right"/>
    </xf>
    <xf numFmtId="166" fontId="0" fillId="0" borderId="0" xfId="0" applyNumberFormat="1"/>
    <xf numFmtId="167" fontId="0" fillId="0" borderId="0" xfId="0" applyNumberFormat="1"/>
    <xf numFmtId="0" fontId="18" fillId="0" borderId="10" xfId="0" applyFont="1" applyBorder="1" applyAlignment="1">
      <alignment horizontal="right"/>
    </xf>
    <xf numFmtId="0" fontId="0" fillId="0" borderId="10" xfId="0" applyBorder="1"/>
    <xf numFmtId="0" fontId="19" fillId="0" borderId="0" xfId="0" applyFont="1" applyAlignment="1">
      <alignment horizontal="right"/>
    </xf>
    <xf numFmtId="8" fontId="16" fillId="0" borderId="0" xfId="0" applyNumberFormat="1" applyFont="1"/>
    <xf numFmtId="0" fontId="0" fillId="0" borderId="0" xfId="0" pivotButton="1"/>
    <xf numFmtId="0" fontId="13" fillId="33" borderId="11" xfId="0" applyFont="1" applyFill="1" applyBorder="1" applyAlignment="1">
      <alignment horizontal="center"/>
    </xf>
    <xf numFmtId="0" fontId="13" fillId="33" borderId="12" xfId="0" applyFont="1" applyFill="1" applyBorder="1" applyAlignment="1">
      <alignment horizontal="center"/>
    </xf>
    <xf numFmtId="0" fontId="20" fillId="0" borderId="0" xfId="0" applyFont="1"/>
    <xf numFmtId="0" fontId="0" fillId="0" borderId="15" xfId="0" applyBorder="1"/>
    <xf numFmtId="165" fontId="0" fillId="36" borderId="16" xfId="0" applyNumberFormat="1" applyFill="1" applyBorder="1" applyAlignment="1">
      <alignment horizontal="center"/>
    </xf>
    <xf numFmtId="0" fontId="13" fillId="37" borderId="0" xfId="0" applyFont="1" applyFill="1" applyAlignment="1">
      <alignment horizontal="center"/>
    </xf>
    <xf numFmtId="165" fontId="0" fillId="0" borderId="0" xfId="0" applyNumberFormat="1" applyAlignment="1">
      <alignment horizontal="center"/>
    </xf>
    <xf numFmtId="165" fontId="16" fillId="35" borderId="16" xfId="0" applyNumberFormat="1" applyFont="1" applyFill="1" applyBorder="1" applyAlignment="1">
      <alignment horizontal="center"/>
    </xf>
    <xf numFmtId="0" fontId="0" fillId="36" borderId="16" xfId="0" applyFill="1" applyBorder="1" applyAlignment="1">
      <alignment horizontal="center"/>
    </xf>
    <xf numFmtId="3" fontId="0" fillId="0" borderId="0" xfId="0" applyNumberFormat="1"/>
    <xf numFmtId="0" fontId="13" fillId="38" borderId="0" xfId="0" applyFont="1" applyFill="1" applyAlignment="1">
      <alignment horizontal="center"/>
    </xf>
    <xf numFmtId="0" fontId="13" fillId="39" borderId="0" xfId="0" applyFont="1" applyFill="1" applyAlignment="1">
      <alignment horizontal="center"/>
    </xf>
    <xf numFmtId="167" fontId="0" fillId="0" borderId="0" xfId="0" applyNumberFormat="1" applyAlignment="1">
      <alignment horizontal="center"/>
    </xf>
    <xf numFmtId="164" fontId="0" fillId="0" borderId="0" xfId="0" applyNumberFormat="1"/>
    <xf numFmtId="164" fontId="0" fillId="0" borderId="0" xfId="0" applyNumberFormat="1" applyAlignment="1">
      <alignment horizontal="right"/>
    </xf>
    <xf numFmtId="164" fontId="16" fillId="0" borderId="0" xfId="0" applyNumberFormat="1" applyFont="1"/>
    <xf numFmtId="0" fontId="13" fillId="40" borderId="0" xfId="0" applyFont="1" applyFill="1" applyAlignment="1">
      <alignment horizontal="center"/>
    </xf>
    <xf numFmtId="0" fontId="16" fillId="0" borderId="0" xfId="0" applyFont="1"/>
    <xf numFmtId="0" fontId="19" fillId="0" borderId="0" xfId="0" applyFont="1" applyAlignment="1">
      <alignment horizontal="right" vertical="center"/>
    </xf>
    <xf numFmtId="8" fontId="0" fillId="43" borderId="16" xfId="0" applyNumberFormat="1" applyFill="1" applyBorder="1" applyAlignment="1">
      <alignment horizontal="center"/>
    </xf>
    <xf numFmtId="4" fontId="0" fillId="42" borderId="16" xfId="0" applyNumberFormat="1" applyFill="1" applyBorder="1" applyAlignment="1">
      <alignment horizontal="center"/>
    </xf>
    <xf numFmtId="6" fontId="0" fillId="43" borderId="17" xfId="0" applyNumberFormat="1" applyFill="1" applyBorder="1" applyAlignment="1">
      <alignment horizontal="center"/>
    </xf>
    <xf numFmtId="167" fontId="16" fillId="0" borderId="0" xfId="0" applyNumberFormat="1" applyFont="1"/>
    <xf numFmtId="167" fontId="0" fillId="0" borderId="10" xfId="0" applyNumberFormat="1" applyBorder="1"/>
    <xf numFmtId="168" fontId="0" fillId="0" borderId="0" xfId="0" applyNumberFormat="1"/>
    <xf numFmtId="0" fontId="13" fillId="44" borderId="0" xfId="0" applyFont="1" applyFill="1" applyAlignment="1">
      <alignment horizontal="center"/>
    </xf>
    <xf numFmtId="3" fontId="0" fillId="0" borderId="0" xfId="0" applyNumberFormat="1" applyAlignment="1">
      <alignment horizontal="center"/>
    </xf>
    <xf numFmtId="166" fontId="0" fillId="0" borderId="0" xfId="0" applyNumberFormat="1" applyAlignment="1">
      <alignment horizontal="center"/>
    </xf>
    <xf numFmtId="0" fontId="0" fillId="34" borderId="16" xfId="0" applyFill="1" applyBorder="1" applyAlignment="1">
      <alignment horizontal="center"/>
    </xf>
    <xf numFmtId="0" fontId="0" fillId="0" borderId="13" xfId="0" applyBorder="1" applyAlignment="1">
      <alignment horizontal="center"/>
    </xf>
    <xf numFmtId="168" fontId="0" fillId="0" borderId="0" xfId="0" applyNumberFormat="1" applyAlignment="1">
      <alignment horizontal="center"/>
    </xf>
    <xf numFmtId="0" fontId="0" fillId="45" borderId="0" xfId="0" applyFill="1"/>
    <xf numFmtId="0" fontId="0" fillId="45" borderId="14" xfId="0" applyFill="1" applyBorder="1" applyAlignment="1">
      <alignment horizontal="center"/>
    </xf>
    <xf numFmtId="8" fontId="0" fillId="0" borderId="0" xfId="0" applyNumberFormat="1"/>
    <xf numFmtId="0" fontId="13" fillId="33" borderId="0" xfId="0" applyFont="1" applyFill="1" applyAlignment="1">
      <alignment horizontal="center"/>
    </xf>
    <xf numFmtId="0" fontId="20" fillId="0" borderId="0" xfId="0" applyFont="1" applyAlignment="1">
      <alignment horizontal="center"/>
    </xf>
    <xf numFmtId="0" fontId="20" fillId="0" borderId="15" xfId="0" applyFont="1" applyBorder="1" applyAlignment="1">
      <alignment horizontal="center"/>
    </xf>
    <xf numFmtId="0" fontId="13" fillId="39" borderId="0" xfId="0" applyFont="1" applyFill="1" applyAlignment="1">
      <alignment horizontal="center"/>
    </xf>
    <xf numFmtId="0" fontId="19" fillId="0" borderId="0" xfId="0" applyFont="1" applyAlignment="1">
      <alignment horizontal="center"/>
    </xf>
    <xf numFmtId="0" fontId="13" fillId="40" borderId="16" xfId="0" applyFont="1" applyFill="1" applyBorder="1" applyAlignment="1">
      <alignment horizontal="center"/>
    </xf>
    <xf numFmtId="169" fontId="21" fillId="41" borderId="16" xfId="0" applyNumberFormat="1" applyFont="1" applyFill="1" applyBorder="1" applyAlignment="1">
      <alignment horizontal="center" vertical="center"/>
    </xf>
    <xf numFmtId="0" fontId="23" fillId="0" borderId="0" xfId="0" applyFont="1" applyAlignment="1">
      <alignment horizontal="center"/>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fill>
        <patternFill>
          <bgColor theme="4" tint="0.39994506668294322"/>
        </patternFill>
      </fill>
    </dxf>
    <dxf>
      <numFmt numFmtId="0" formatCode="General"/>
    </dxf>
    <dxf>
      <numFmt numFmtId="3" formatCode="#,##0"/>
    </dxf>
    <dxf>
      <numFmt numFmtId="3" formatCode="#,##0"/>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9" tint="-0.249977111117893"/>
        </patternFill>
      </fill>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tint="-0.249977111117893"/>
        </patternFill>
      </fill>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fill>
        <patternFill patternType="solid">
          <fgColor indexed="64"/>
          <bgColor theme="9" tint="0.79998168889431442"/>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bottom" textRotation="0" wrapText="0" indent="0" justifyLastLine="0" shrinkToFit="0" readingOrder="0"/>
    </dxf>
  </dxfs>
  <tableStyles count="0" defaultTableStyle="TableStyleMedium2" defaultPivotStyle="PivotStyleLight16"/>
  <colors>
    <mruColors>
      <color rgb="FFFF9999"/>
      <color rgb="FFA80000"/>
      <color rgb="FFD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[ExcelExpert_Farelas.xlsx]Summary Chart!PivotTable1</c:name>
    <c:fmtId val="4"/>
  </c:pivotSource>
  <c:chart>
    <c:autoTitleDeleted val="1"/>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 Chart'!$B$1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'Summary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 Chart'!$B$2:$B$14</c:f>
              <c:numCache>
                <c:formatCode>"$"#,##0</c:formatCode>
                <c:ptCount val="12"/>
                <c:pt idx="0">
                  <c:v>459.8</c:v>
                </c:pt>
                <c:pt idx="1">
                  <c:v>1306.6499999999999</c:v>
                </c:pt>
                <c:pt idx="2">
                  <c:v>299.10000000000002</c:v>
                </c:pt>
                <c:pt idx="3">
                  <c:v>139.5</c:v>
                </c:pt>
                <c:pt idx="4">
                  <c:v>202.1</c:v>
                </c:pt>
                <c:pt idx="5">
                  <c:v>1211.3999999999999</c:v>
                </c:pt>
                <c:pt idx="6">
                  <c:v>518.65000000000009</c:v>
                </c:pt>
                <c:pt idx="7">
                  <c:v>574.15000000000009</c:v>
                </c:pt>
                <c:pt idx="8">
                  <c:v>1161.72</c:v>
                </c:pt>
                <c:pt idx="9">
                  <c:v>504.09000000000003</c:v>
                </c:pt>
                <c:pt idx="10">
                  <c:v>678.42000000000007</c:v>
                </c:pt>
                <c:pt idx="11">
                  <c:v>117.9</c:v>
                </c:pt>
              </c:numCache>
            </c:numRef>
          </c:val>
          <c:smooth val="0"/>
          <c:extLst>
            <c:ext xmlns:c16="http://schemas.microsoft.com/office/drawing/2014/chart" uri="{C3380CC4-5D6E-409C-BE32-E72D297353CC}">
              <c16:uniqueId val="{00000000-C7B7-4122-A1AC-F2276C198F27}"/>
            </c:ext>
          </c:extLst>
        </c:ser>
        <c:dLbls>
          <c:showLegendKey val="0"/>
          <c:showVal val="0"/>
          <c:showCatName val="0"/>
          <c:showSerName val="0"/>
          <c:showPercent val="0"/>
          <c:showBubbleSize val="0"/>
        </c:dLbls>
        <c:marker val="1"/>
        <c:smooth val="0"/>
        <c:axId val="1735236656"/>
        <c:axId val="1735233296"/>
      </c:lineChart>
      <c:catAx>
        <c:axId val="17352366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5233296"/>
        <c:crosses val="autoZero"/>
        <c:auto val="1"/>
        <c:lblAlgn val="ctr"/>
        <c:lblOffset val="100"/>
        <c:noMultiLvlLbl val="0"/>
      </c:catAx>
      <c:valAx>
        <c:axId val="173523329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5236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 Trend'!$B$1</c:f>
              <c:strCache>
                <c:ptCount val="1"/>
                <c:pt idx="0">
                  <c:v>Collisions</c:v>
                </c:pt>
              </c:strCache>
            </c:strRef>
          </c:tx>
          <c:spPr>
            <a:solidFill>
              <a:schemeClr val="accent1"/>
            </a:solidFill>
            <a:ln>
              <a:noFill/>
            </a:ln>
            <a:effectLst/>
          </c:spPr>
          <c:invertIfNegative val="0"/>
          <c:cat>
            <c:strRef>
              <c:f>'Monthly Trend'!$A$2:$A$9</c:f>
              <c:strCache>
                <c:ptCount val="8"/>
                <c:pt idx="0">
                  <c:v>Jan</c:v>
                </c:pt>
                <c:pt idx="1">
                  <c:v>Feb</c:v>
                </c:pt>
                <c:pt idx="2">
                  <c:v>Mar</c:v>
                </c:pt>
                <c:pt idx="3">
                  <c:v>Apr</c:v>
                </c:pt>
                <c:pt idx="4">
                  <c:v>May</c:v>
                </c:pt>
                <c:pt idx="5">
                  <c:v>Jun</c:v>
                </c:pt>
                <c:pt idx="6">
                  <c:v>Jul</c:v>
                </c:pt>
                <c:pt idx="7">
                  <c:v>Aug</c:v>
                </c:pt>
              </c:strCache>
            </c:strRef>
          </c:cat>
          <c:val>
            <c:numRef>
              <c:f>'Monthly Trend'!$B$2:$B$9</c:f>
              <c:numCache>
                <c:formatCode>#,##0</c:formatCode>
                <c:ptCount val="8"/>
                <c:pt idx="0">
                  <c:v>9506</c:v>
                </c:pt>
                <c:pt idx="1">
                  <c:v>8986</c:v>
                </c:pt>
                <c:pt idx="2">
                  <c:v>7241</c:v>
                </c:pt>
                <c:pt idx="3">
                  <c:v>2598</c:v>
                </c:pt>
                <c:pt idx="4">
                  <c:v>3953</c:v>
                </c:pt>
                <c:pt idx="5">
                  <c:v>5012</c:v>
                </c:pt>
                <c:pt idx="6">
                  <c:v>6128</c:v>
                </c:pt>
                <c:pt idx="7">
                  <c:v>5716</c:v>
                </c:pt>
              </c:numCache>
            </c:numRef>
          </c:val>
          <c:extLst>
            <c:ext xmlns:c16="http://schemas.microsoft.com/office/drawing/2014/chart" uri="{C3380CC4-5D6E-409C-BE32-E72D297353CC}">
              <c16:uniqueId val="{00000000-7FAE-47B3-85C5-1F39CB7EED6F}"/>
            </c:ext>
          </c:extLst>
        </c:ser>
        <c:dLbls>
          <c:showLegendKey val="0"/>
          <c:showVal val="0"/>
          <c:showCatName val="0"/>
          <c:showSerName val="0"/>
          <c:showPercent val="0"/>
          <c:showBubbleSize val="0"/>
        </c:dLbls>
        <c:gapWidth val="219"/>
        <c:overlap val="-27"/>
        <c:axId val="1522528191"/>
        <c:axId val="1522528671"/>
      </c:barChart>
      <c:lineChart>
        <c:grouping val="standard"/>
        <c:varyColors val="0"/>
        <c:ser>
          <c:idx val="1"/>
          <c:order val="1"/>
          <c:tx>
            <c:strRef>
              <c:f>'Monthly Trend'!$C$1</c:f>
              <c:strCache>
                <c:ptCount val="1"/>
                <c:pt idx="0">
                  <c:v>Injury %</c:v>
                </c:pt>
              </c:strCache>
            </c:strRef>
          </c:tx>
          <c:spPr>
            <a:ln w="28575" cap="rnd">
              <a:solidFill>
                <a:schemeClr val="accent2"/>
              </a:solidFill>
              <a:round/>
            </a:ln>
            <a:effectLst/>
          </c:spPr>
          <c:marker>
            <c:symbol val="none"/>
          </c:marker>
          <c:cat>
            <c:strRef>
              <c:f>'Monthly Trend'!$A$2:$A$9</c:f>
              <c:strCache>
                <c:ptCount val="8"/>
                <c:pt idx="0">
                  <c:v>Jan</c:v>
                </c:pt>
                <c:pt idx="1">
                  <c:v>Feb</c:v>
                </c:pt>
                <c:pt idx="2">
                  <c:v>Mar</c:v>
                </c:pt>
                <c:pt idx="3">
                  <c:v>Apr</c:v>
                </c:pt>
                <c:pt idx="4">
                  <c:v>May</c:v>
                </c:pt>
                <c:pt idx="5">
                  <c:v>Jun</c:v>
                </c:pt>
                <c:pt idx="6">
                  <c:v>Jul</c:v>
                </c:pt>
                <c:pt idx="7">
                  <c:v>Aug</c:v>
                </c:pt>
              </c:strCache>
            </c:strRef>
          </c:cat>
          <c:val>
            <c:numRef>
              <c:f>'Monthly Trend'!$C$2:$C$9</c:f>
              <c:numCache>
                <c:formatCode>0.0%</c:formatCode>
                <c:ptCount val="8"/>
                <c:pt idx="0">
                  <c:v>0.21992020718135369</c:v>
                </c:pt>
                <c:pt idx="1">
                  <c:v>0.22193802981584332</c:v>
                </c:pt>
                <c:pt idx="2">
                  <c:v>0.21524825902143438</c:v>
                </c:pt>
                <c:pt idx="3">
                  <c:v>0.24562682215743439</c:v>
                </c:pt>
                <c:pt idx="4">
                  <c:v>0.30476500243942106</c:v>
                </c:pt>
                <c:pt idx="5">
                  <c:v>0.35596113445378152</c:v>
                </c:pt>
                <c:pt idx="6">
                  <c:v>0.34731707317073168</c:v>
                </c:pt>
                <c:pt idx="7">
                  <c:v>0.35006287870126901</c:v>
                </c:pt>
              </c:numCache>
            </c:numRef>
          </c:val>
          <c:smooth val="0"/>
          <c:extLst>
            <c:ext xmlns:c16="http://schemas.microsoft.com/office/drawing/2014/chart" uri="{C3380CC4-5D6E-409C-BE32-E72D297353CC}">
              <c16:uniqueId val="{00000001-7FAE-47B3-85C5-1F39CB7EED6F}"/>
            </c:ext>
          </c:extLst>
        </c:ser>
        <c:dLbls>
          <c:showLegendKey val="0"/>
          <c:showVal val="0"/>
          <c:showCatName val="0"/>
          <c:showSerName val="0"/>
          <c:showPercent val="0"/>
          <c:showBubbleSize val="0"/>
        </c:dLbls>
        <c:marker val="1"/>
        <c:smooth val="0"/>
        <c:axId val="1522533951"/>
        <c:axId val="1522535391"/>
      </c:lineChart>
      <c:catAx>
        <c:axId val="152252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528671"/>
        <c:crosses val="autoZero"/>
        <c:auto val="1"/>
        <c:lblAlgn val="ctr"/>
        <c:lblOffset val="100"/>
        <c:noMultiLvlLbl val="0"/>
      </c:catAx>
      <c:valAx>
        <c:axId val="1522528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528191"/>
        <c:crosses val="autoZero"/>
        <c:crossBetween val="between"/>
      </c:valAx>
      <c:valAx>
        <c:axId val="152253539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533951"/>
        <c:crosses val="max"/>
        <c:crossBetween val="between"/>
      </c:valAx>
      <c:catAx>
        <c:axId val="1522533951"/>
        <c:scaling>
          <c:orientation val="minMax"/>
        </c:scaling>
        <c:delete val="1"/>
        <c:axPos val="b"/>
        <c:numFmt formatCode="General" sourceLinked="1"/>
        <c:majorTickMark val="out"/>
        <c:minorTickMark val="none"/>
        <c:tickLblPos val="nextTo"/>
        <c:crossAx val="1522535391"/>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D114DAB5-E8AC-4BAC-A92D-50F7E9156E4B}">
          <cx:tx>
            <cx:txData>
              <cx:f>_xlchart.v5.2</cx:f>
              <cx:v>Orders</cx:v>
            </cx:txData>
          </cx:tx>
          <cx:dataId val="0"/>
          <cx:layoutPr>
            <cx:geography cultureLanguage="en-US" cultureRegion="US" attribution="Powered by Bing">
              <cx:geoCache provider="{E9337A44-BEBE-4D9F-B70C-5C5E7DAFC167}">
                <cx:binary>zHvZcty4su2vdPj5Uo152LH7RByQVZosWbY8vzBkWeYEEiRBcPr6m+VpSyW11B3HEb394I4umpVA
IpG51sqsf1/P/7q2N1f9b3NtG/+v6/mPZ/kwtP/6/Xd/nd/UV/6gLq57592X4eDa1b+7L1+K65vf
P/dXU9FkvxOE2e/X+VU/3MzP/uff8G3ZjXvurq+GwjUvw02/vLrxwQ7+kWcPPvrt2oVm2L2ewTf9
8exyKob1prdXzednv900QzEsr5f25o9nd/7ds99+3/+2e5Z/s7C4IXyGd5k4UAgTqhFGX//QZ79Z
12TfH6sDQpEWTHD97Y/8Yfr8qobX/+Kavq7o6vPn/sb7377/d+/lO5vYe1Z4F3/zRex2i46Pvu7y
97u+/p9/730A+9775NZx7DvpqUf7p3E8XNnlhzN+wTnQA04450ixb+eA75wDJgdY7B6ob08RPP4W
At/O4cnVPHwC31/b8/33T/e9fvz6n/f6/wY/9MXVj83/Ar/LA64kkohBZN8KfMwOMENaKcp/nsdt
h/+FhTzs8p8v7jn95+f7bv/f/wK3mxubFaH+dW7n6ECAe7lQ8mdeueV9diAEJoqrH+EOWem29//C
eh72/s8X97z/8/N975vNPx/0hzd9fdX8wmTD8QHSWCsp0EPex+iAKsg08of795LNX1jPw97/+eKe
939+vu/95L/A+8lNU1/11Y8A/L+nHM4PNBFCYU6+pRZyJ/OoA62xElrvxfxfWMfDXv/54p7Xf35+
z+un/3zMb/ur5vrm1zkdcI4gTCFN7uZ5csC4ovJnHtL6h81vhfXpdTzs9B/v7fn8x8f7Lt+++i9w
edH8Wmwp6AFhQkrBv6fxu4FOdvcA8hD/CmzgKuylme3T6/kT3/94cd/5Pz6/5/3jf9775zdD/g3c
+x8R+AtSDYET4IJJRr4lenUn1XC4E0IzLfV3VLmXcv7imh4+hTsv753EnWf7p3H+/L/gNFw/Xf3K
iqsPNKaU/gTwEOu38A5UXEmVFhrO5zbOOX9yGX/i++/v7bv9+8f3PP7in/f4heuHkF3ZHw74vwc/
1QdCEawlv5vyI3mg4QEgT/rtUug9UvtXlvKw3//z5p7n//Ng3/cX/wXw/rK9Kppf53gG+HGnJwj8
3b93s04EVJczCgj/u+Swn/ifXM7Dzv/+2p7nv3+67/bN5T8f8pfTzeebX+h3DgEvIZsT/mC2B0oL
iBNIlfwh5vw48h9azlPL+RO/f9/GvuO/f7zv+cv/Akz/pimGm8+/nYJ+99n9SlpLDzSjioKe9lC9
jQhEPoJ6jL6LCggQ0e18/9fX9fBR7L+/dyT7j/eP5tD8ikvx55rbTyEyuRquNl8VzFuy2+NPv24Y
lNW9V7+778Fq8c2zx5//eCag3P6URXffcMfrP4nQ3RdurvzwxzPMDzDnUJohm0mOtIRiMd3snqgD
YMhw0gyEDCyhpECaa6CK5X884/JAcgLPCJEEABaBc/YufH0Et5BruKBMKPgLM/xTNL5wdslc89MP
3///tybUF65oBg9f/Oy39tu/+rotrYG7aAGWCJMA8zAsob2+egVxDf8Y/z/XVNFcFusUT66nRne6
SNKh7TZL0bmjWz55wBQQoX1TQFkZWEEYoIyCLd02VRUyXVnwc0xolBswR7bF4qvnsxyb5znK2sOp
r+2bsu3VYVuM+TfM/U3CfcA8ZQ/Yl5RTAnRCK/D6Xfthype0ztYhLliV5ReY5GpDZlWobUnHpjNR
UY8MXLDkZZxh0ck4zzN8Kekor7NSpheE6V4mvV1QbcqKd9qsuJfdNq2iGm/JWtbNocTl9KWbOlkm
jci7PO4UuLSPbJ3H5ejIZPK+a77MqVutqUkpscmmLn+9g3ZZ3LMu/ZTJZXw3jpy8QT5qzvS4RMNm
amz+5vHzwBgi796JSID3lPHdiYhdcNw6/KVFaS+WcoinQqPcBMTIVTNyWZil5XVtolKwd8gSfGW9
IDSRCheTaV2LMiNW2n1e64kQU+Yp30a5zUTii6y99nhupdFjW6cxb0oljc0yXh7aOtBrPBOODzNe
Da/TgUx5kpfWfuIh7+w2GlU/H6mhde/noKiLC5Eur3hX95XpVT4HM4uotIlW/XBdhmV+7Svp600E
u5jO8RLy83H2HTnxrM35izwNZbVFtaz9Mep4M8KG5no1tW5FSGZBhn5TTVospu9Z3id5Xcwy1lUz
XCGL6so0YsHu2AcixdmqnIwS76n6mOJOVUdO5lO7yccer9uin6VMcKoLmTRrGC4FZ1l2QZtyJnHa
qfxK9pKII+IInw8nOddjLHrpifG+WbtNNaS0Na3nfkjQWrAuzvsCVUnJC8XMylYuTLeOLARDGx1Y
vIwz6pJhnSr6fIxSLU99mvouTpmwrwqhC7SRc9TghIRsCglTtpdHBZ41uYYNC366pFqgWDKZFS+r
VMnpLM0inW7XQrXFtihHbLcWoqKOK9QQe5xSam2SjpUnm6ElunlR4nKtjKtLMiQ8nyxNbIn7F0Q0
q0uolZOOJ+4bYXg6+vRTWFlebNlAZRbDIS2rKaNOdMk6aZYnstJ0Maip1ZToquzbDQt22kZVOhdb
tCg0Jo8H/0PJCPiSwpIKQJoc8vvt0PclX6oRhSHOnNSHIscs8cJ3LypMxtWEaZg36xi57YjK1igb
0i+P2xf3r54GVo1AQIXmmNwVhdv2BxxlhVV2jNsyazZD79gp8aE4IazGhw7r8hvH/dPshx9I9Jpj
JYkCGUsoDkz9tkHR5di1mIV4aiZnBiaGuJ+b/rTonboK3dwfpWRlycDnMlm6ER3brqWf3FS5ZTsv
WJi6TO125RE9pVGZyW9I4M/Xt8v+dwsRQ0QxzRGICYRRdHd9pEZ67jo7xF2UugunF34YaMk2E6pG
a7K5wHGZzflRM9ZSGzcTHNOBrVtXR8OhDxF6olrdrxZQqxHwDA5Ct6RorzA2kW8QpgHFvmYdicdy
yrSRS1nHjwfCA0mYAz5gUI+0ZAo6eHc3jtuKT0gtKM7dNF7ktvTlBtIZLU3NvLyJZrcUZi5BBDOo
z3ts1qWAUs1E7qzBYSqXpOqX6X3HV4q3QfQdSmTE7GEd+bROgqu5f2LN94OXY0EpEAUKngEQcnfJ
igNjHtPdkse1/YSp84fpnNbbQjb5ZbFG7PAJH+0O/z/BIRECjZUIgoCYQFsBLuxdg5GsXMgiguIx
suxtlzItTNGLKcQqW2kiuqnJD2tssxelrqq309RTYabOR9vHF3I3KAC3AHJBFGMFQAaJr1Du9iXK
V97iFpddzFQ0vbRKEYPGann9uBX8kBmgvrtm7lddeS/28DS1rByLLnaQ+BuD80Zf1l0tXhXBLteB
tel28P36pm7t+DzNGkLiGTUlMqwUVbWNsHL4yM3dVRbWpnjipt7NnDsfMA19TcoIUcAFd12G2z5o
VUk8S/Mu7qc6Pe64ijazxflhU41vslCVG8VGnKRdlZ+iZfSXj/vmIet411viQiAgq3sgsuiJz1gQ
bSzXAWebwbrJuKqIVrPkmU/W2UVn1UimOsEtCptertPHx1dwFzR92z8hBEHoQ+LmYrfCW6AJesE5
gDyIgbEpmzUe2hRPZii7+cK1wpq0tMURWfy4edwsvpsgd3Y5YgKAP4csyb5qUrft0s4J0rdTG7OS
umKTQm/ojc06gEYjzaozwGpyE3mHX/BalDxu5nyatwUvKps4btd2KxDP5+TxVd3NBF8XJaF6QSHV
XINGvJe1IUYQtTQK8Zra0UiWDccBzeEts2w9HfNevXvc3i7ybycCcIICfPi1JbCLwd3NueV8Oq9k
jSqoYrihOqmiiG8qXFkT9Wq4rFupNtjlyzZ1Wjzh//t3cmeZAkvasQci91LQim1jVUVD3JUAFTOe
VptUzvaJzLpXpr86VAFFgiSnwa8c7zl0go635V0/xrbN66PMFukZ7WkVdwE3r4OV/a7WfQoeyy2r
fWTyQmZv9JChM7ZgfeJrVx2XPWuu+MjVE3cPVIb77sfQboEEILDQSO2hluAC8YsWXezb6SLrqHpZ
RLNvTYNsMAC/+0TadjBkHUYAcOc81Btd1Qkvo0OVV3MVi7KsTl0veW8yoIjIUNpDeaNrKjqD7SCu
a+KGIvY5i1zSZiWVSV7h/L3IuS431gN8btPWHkLgrxcs0+/KDGXPoU+N000VqZwCiykklFFuBwOw
N3zhuc7fs2juS9MMebFuEG99Ftce9c22mdvlOsrTLt8MkyLHU+D1nKz1MM5JWpE06RvBIaWppf3A
ugm9iFqsalPnYuzM0IDx02pUax0zjUeZoCEtXpBoKnPjW0yOkWu1PwbM3DpDoKc7GVW1/HJyekrj
MHUlNj1LSRY3yzJGBkkxNgDca9ofNgUe/MmyzMO2Lhy2CcBn9WXNFFrNPA36jcBBT6YD4jYnma9m
b/jQ9TckzWUdU17zNWltVJw0pQc0nUXNmtgxDK9nTt17mxb+RmW0W+OZ1w1PuO/LmxwDBTiG2GTK
UL+M3Cz9PH0C2Fb0ZgVE9BqxrJ63YtW2P4KLPylTorTKtqUiaWSww8uLJlh8E9Q8f1I4z8+BHI/0
NWxGvx19UwEFKDw7CxFugBY7khemKJybAIwSWsd1FHRh0qGuqpjMaKg2QroGmzaDHGamdoWVQWXo
1LltafG+tkIvCcELHOiA8qo1Qxr6LplJrg9XIZsidm2rkxk3yxqnmNPjprdyNf0SLHwf8LjPS6jW
tyyFfGrGiafHc+dxaaJpGXBctcvYxx2PNJyf9eVb5ZZwVY6DZjEtEfpAAJd+BhqxdEnA9fpFVDJ7
n1f50CQVmvF8vNiFU5NHDX3dR1X3wYUJvXTQdHgZ2QnZBC20PKldmbWmasDnMdGTnkE7WOfzYVyd
j6OWLvIY9iWvseJWG13LCu6YY/SEV0qkh8BZgL33joZ+Q1qejacZG4EeRsIrcujnKMu2IzAhn9R5
JdJkHKpqNAsvHBDPap6PS5W33NglorCNoFBxQkXVV0kxVgFiM+3YAAk+B1qKheuuRF0NPuYybacY
FAECAdk6hOOxnbsvzM75lXK07WM+r0HFS1GpcVOj4FqTjSBBgSdDX20qnwV1svSC2birquh4XEge
xVVul9IMUOc/pRFbZyPXTrQnsPN2Pg8Lz/BhlS8AvAJFHNSYdi5RMqQ4xWZcKXB3A/Wg9Ies9bU3
gLxbFFeDYD4JKVqaw8JDnJgq8hndWuI0BPbgyHsg7FMZqyKl5xUE62x6NIj6iIgRDUk/lKLdpCtK
ScIaRV/rUA+ZkVmlzx2ckUqAR6PWjHC5WzjBYnjeRa7ySSaakZquZAq+sM7I+6xQVWE6rtsOuFQp
3k7ekjERQwCpyDZp+Z5R6xYjIxWi44pr+bF1Q5QmpXb4ehZD+zIaO5h2DNEixWFURBrOfEmb037N
8noD8ot85URf2DhSDVwlO1D9gURUfRm0Tt/XvFlfu9qGnV/n3bWj2r9elpXAutdWNRs8R5obXmRQ
YbxU0QfMM4BbA600gJuc04sMF2u9hTLIhyNCMTkbMtaqjVjBNRveWhlP7diBiNCO7JXmduaJ7JVf
E0CkXW5IFabLdoHyYtyI/bJhSxmQIYT3ECDrWD8vCsxbiNghbw3sG51S1K0X41zYS4SmZjGtpak1
1dBzkHFsnrkjXcK8ahwQofNG8TY6okMz5rGfBT5vXUnnLahA2RFed5Hf+DL7zDHLbDxXMzopICJ0
UtseszO8MKBVeqh1iGU6RtFWDQKAlrcMWGjl15fRRJobtNLyHXwD++KjNExJOXfNB1X3kzZ2rYoi
KdICNVDjijZPFsVcgnKRNYbmiELG8w1/NTGe09N5RCQJ0A9oXijSDmnsOgpSIeq1eDWn3fK2bOZR
xkDr53ejdXN7sngIliPmw1Jt+NjzMVYDEP/Et4u1RzNeBegxjLlggEesXyBz4nNdpsDgO6+mzIQx
z4pkLenQm9AicRymWQKg6rvU1QY5u4bt5F3VZoZnbUVehImF6XmeC39h89SLZMVOjLEvra/jvp+7
0rRNW39s1lVOEHFWcxkv8xqVyYh7thwWXVbTM9w1GhtcupInWcFktKFkHed4ybmaYzW2abp1KIxD
zFqcQ97AuT+BmyNoUmsxvqwcD1tcFeJtR5bo1erwOhyvtq7OyOyhEuYkR6Cx0hDCYbRWGzu56PkU
0rY4YmnVlbHvXxWpoI3pxqyO186f1brxN7W17TvcTRf9CFwLMM1Jm9WueArY3ScuAiNFEdZAICkQ
1LvI1Tq4nkVvp5iTCluAIq7N4mnpWxdz3lfXBS+DiElZri9KMuPazHIHDNp8IYOpIxJ8vCzNEpmQ
T6GMV5mHj31rW2+GLmJNwjUqmtijpSwMKDU2PIH0H+AfQMB3SweVF1FG9wBwN+O2trOYY90hb6CH
VR62S611Elo8fEayu2QFD87kuOqPQVRC1y1n8+uCzqAWj6ih81MuRfQeHAUVgoE4QBUjO+x816dD
DlShqaoQaw1Z+WRE/e4GTI5eCSVAedVtodvEkqh4K5HKirjtq07FeCrKtzWioYgnhceXunEAqqYM
gV4KF1koA5pMoV54ivMbTkReJ9oOY290rvoFGB4Zl53JBeBuFOWfp0GU4ybNJ9bEJBC4Dxlt7aeu
1yk+WRvdTXHBZXQUEJyXGXEUDWYcl/Qy1Hh00HlZstcphPuVR+lMkyEL9AuotOiDXTNWmEp3oQZ0
kDYuRhNzc5KvbMhjlipdmXSCiDtaJ4mLU5HV4o0t5pDHeUr7Dzl0jy4prmoe183Y9aBNF82hVRkB
fDcMstswENejU+pKtiY8C3w1QlSZsfNSfSl82QnTFoAFzAR4gieMstoanyLxHEGj66Ma+/VqLJfS
bnrX185Ir1GUEDZkIPsCtqs3LZXlAnmmB/gG2MdteVPXzNTIpRubhe5d0D3OksBlS+N6AE02bry2
H7MoZAAEubObiPARHyrpqy8CcBo7smFk2wFAI6Silba5oWC7jYuyatPYimV4oVdZtAZkIfscSpjy
cYfa1idzlWelARrbngE+5ThOXVRFZtK500+oJPeJsRAMfvUgGbifAzm+G5p9hlVAPh3juVdui5e6
TdKSQi1o+C5d9uIJe/eZGWgRoJ4SaCQSIr6qjLeIcQ0wh0+9grRMGn6qh6h456ah3mLmIOc/TsLv
pzIOTTSwAWolkfek2uAiXdjUDXGFvd3ATmfQP1ZA4K2MTkHTbjZksCipyhKdi2YgT4hw913LKWwW
vMqgP8roLivc2ipeiEUpiJtxn+vlfM3T9jBaepaIENBWiKJ8Qgm+L/hwmO+UkLslpRjJvSzTzqua
Kg/wopm77L1qFxY3OMxbBYDlje7LCZBhal/+fR8r6MhxBBOOnOG9cgFtoX4sR+Fjr4v2udVz9K70
aDxZCzSYOY3CcZSH9E01tmTTAPX/+3tmCmtCoWEAA35oT2eJmkKB9JCDeVdGIIEPYqOnaTwaGV9i
meM2RkuFjh/fM30gsCCGyVcxScGUyV6JqdgorWxGH1Prx88NhACL8dhDjZmKthm2QzRUZRxByyI9
bMQ8cJPqfLnKB5JS0GWGoknWlvTNZh7WbNthXvA4tSGcadIIGxPZAythk5qGbdXi6AOiHnAxae3r
dWmrJMtLFoe1WjaV0/RM89HhpBnk0Jha9k7E3I9uhA6cmluz1Mxu1oY0WaKgZT3HvltSkWTQOfSH
OnIe2nAoms2EijnduEGm9Ilr+IAiJSlBArqPCsE93FOJy3rMEdCJKQ59k76Dul/x2NpmmZ+w84Dm
JkFslQpkXxjzpHuiTwSWh7JNQ1wMmILOqhjwCCzwJjj3MmUTpF6A8X1hSD89tcf7d10AklBCQgtA
CXFPdcs04WLOoVtKcnyo+TxtMlaquNVqOYlKPT2Bch6wx2DugoG0zQhi+10fNPZuZX09xGmm13Mo
410Brfc5fTHAjS/iGnox0RPuvX+M0ADU4GH4oRD8TfYqhQwOPm8HaMIL2sf5oGAUAeJZdk/YuX+5
QLaRO8CEd3MeeM8ODs77nkHWlosvLuDOl9uQAeHLcB+9DzUoHByA+DHokuOG1lF58fjlfqBAcQa6
LejXAL6AF97N2gil+YpGmL4Y50FtQ6D6Aod2jmuE3PvHTT1wiBw0aWigQJUCzXYvdyLlMwtpGXYq
1+UyDxlJjcuk2ygNnIfnlX/79w0q6KrC5qBLBdM5d/dmhwhFvcNDrCpebhU0Ro5SUA9ed1Iszzsx
lU/YI7uSc1cGh99TCgLtKBhChfu3dyVdswgvEMRMXwOpiquuoUAS6rpJOhhbPcQe6/WwmsLyuhU8
8sZ2mr2NqnKpDJcdKmNRlXm7TfkYzv2sYbBBlhnrY8Xn8KocIl4mqF1AV1+cblEyZR4/1c94IBxh
ihBCHzKFBEF9z2d1yD1eKAhLGSjAJ32Yqxd1XYAO0HHUG8mz7GSeIrrxTUmPLZlX/sR9uF/WIakx
mH6Bn01iCY2Fu4eWgZQWGpZClPg0j3tV08MZLe2XIa0EyAfZbASCcYzHI+WByw6ZlCBOYZaGw+9J
7hpttVyC7/UQzwSCcoXO1QnNy/Xs71uBSSto0sJd3/US7lqBkYYBEwtWhJPryx4QUgwjIu23X+38
ecv+AfoFI9BSQpOSQpome1ca7pUEUaWeYpAvPoKU3J+2vgMRHLjGcdEOXUxxJC9A/wXBfOiWTVnk
5Hxs6mVbIZFmoAbaHj1xql85397VUFjA7QdGB3NNnNzd+7j2uiuqOcRDFqUvFGvaI7WU7u2A2yXE
Ak1io9q0RqYti/IDBEEDTCWEp7jpzsz+MiAh7MAMgnkauXfQzZDRvBhroKahY9K00E5946uaXHZL
5iX0q3z0QVaFSkFxmecb1Y96ubBFjq8BOxMYj6uUyjaPh8UDEa+gpYx3DUQCLtpzjR+9qiX1MAIS
pVcNy5Zj6gU9QeO8bnQBzHCCmYcnHHEfPOxmTaBVBPodtM7YHlhXNlJ2zvIQs2Ytj7M0swlmlTag
DXexhFqwWcsRPc/H0V//7d1qDAWAUoDusIK9BJPNkJNLrUfg1xW6yKG7+iIiSw3jdiI7Wng/fLJN
6a4eN7r7MdjeuStJJYadql2d2796rqiznUYGV0+4XsURD2Q4B1xTtImH+poaXw1hjfNOQ8MmBWwY
NiXyK37ekWZ4J2dSjtCyYHkTLygn/RYkRsVgfivY2YC6PZUgZ7b4HMbOlpehUuwmHzikL4pTEGUy
PvPt2rE6MgsgXnGYTwWZofb55axeU/9Enb1f0mHAAYo6/PCKwlXfl18ia1XrFGiHURj5Yc8quwFg
5Y1OC3f8uF/vmfpKN2FWkWgJE6+7SdnbnK9Ky7rMnVrjmgyv1y6aD9N+4qCO5fzvBixUcZCSdp1r
aJuo/UtSqHqp8QQyFyj6RTLhLj1uQOuJUYTbZPY4TTra+leUNH77+B7vj31AsCq8mwbjlDNYw91N
gj5AeZpma6yFRZcNzq2hC+jhvRLuaF1WcWEbmACMVmjlQSOFnvvSu5c475gJQyaPq7Lz597t0sfj
K7tXtQSsDLRzuMO7wWOxV0+QrqmDra9xOYv0LFdBnPKsoiePWyFfSe2dpAkIH8ahd/PIEvT/3S/q
b58yrwKpO0fmeHYw87ctsI7yeJCtJRsJ7dn3g7TuPZr5biqLzz3MIzblBK1S6rIJeImYFzNBm9LG
OgdpxsCkdf9Rz5X65Eo3403eTI06I8DWm81UIXQZRd34olZ+6La8QGVmACF1a5KS0qUgGyLmYtxF
Ij9mU0eCAQ136OMIxpih4wTKU76Zfd31WzwGdabLLm1AlgWV26AqB0FxYQUKxk89kNNq9SAWFlX4
4DGGsU9S9zDNxGQdegM9xfUmdKEQscttjk77PDB3knUV6PFTH/wINBchfzxVYhRGaFsux62OUmjZ
Qa6PknaiwR8FaIvKV7Va+jRZMwiIL7Sb+BvdzeNnrtzaHOV1XWoD+auFOcO+X3ID+aelWyCu0DDr
YSa5SepxHD6lNiUfoZPktRmjrAZoGWbQ5flYdxdDPaTQOCB1CsPOMspuuMyWnfDcFdAwEB27LjpG
nFmGLnyoXMq+QMOZnK4zgWnRqK9avRFON01cL7Y5gwYQLk/Wsmpqs/u5D0zw0Gy4hMYfzwGCagWS
+GL7HNZRimCQWCyFMVEP7EgWQkTJPFEJ1lnbXzY869Fh62DwOOHjAGOs09Csb5u2QW/cwFRp9Lwb
NlghGJSBrs7SGJgy7dIk+Kl9kbF5ulakmdGm0f3ycVjTgpiua+s3UegE3+TVoKI4FxXtTAWUrjZw
W1AKQ3BTA/IxTPjmR3LFVXUYSNYcIRhA6o9APFB2W3UtRgkrUTdAaw8AdwKj4TCQ0FXL7AB7DuQL
K4b+/1P2ZVty4li0X6ReICbxch8gIMacJ6dfWDnYEmIQoxD6+rujum93OdPtvP1Sa7nsTAiQdM7Z
U4xpgVF+xoiEIy4x0DMMKAPukLRtUIkkXqi6gCiviZMQzY2Ljr9aeCqa9kwXNIp0+37qOp5BwLas
0AnNs78pROv4iVvwyNuKejGvHdhe7yRoEefOHI5+Nq9DL0+KhDpKZOkP3wacctcqFEyltejnCwiO
2icpeno/g51X2VibYt7M5IwUL3SIb+OGinsZmzhMF2Cwrw7oxNfR6oUCh47Dbw16tTBZe9dCOA9x
KfQ65bLGSc/6INgwUI4iMWNBNoML2BdKU0IfvACU6zDY/g0DwLxvKs9rkrFZdbURYo7fgKiSMhl1
P+Wtb1sw/4GPB6PHCTLxYYlYnwuwwXjFK1F12gJOhCadQQ6dtBW2ZCKaPn4PVNh/qy3g7mQSng8l
C3W7o7tO8Y910RxnQSg0NvQYimqjZtbPiS5bAXrZDzuy8aCIajcTC7STjxxq7WON5vMS7X8xJQNR
EOYBG+b0ixr1+Tw+kx0UAtXw7M2NPzTe5VQ1dbkA7PV5rzcV1va2I539qh596t0Au8CCEgN5Occ8
fDyOpwIyKrCWIInnBbTpgOXyvXatm4iCsAPW0nhNa6aPnd+t21qo/hlaA6wZVbO0ds6iMEv7nVkh
mKGQ32zBJD93ipAHhdcwfFGjflc9o4i6sLMwMEKfhvARuJsGu+ukk/CjNue0jR7akIGwkKDZjiD+
pE2i0JhbHDzFbQ96ed/2VXmztLyaj2fdUwiKwh2eQIPI+Yvb+00DgyHXgXMOaUkx6vyvpQ09aN3C
FLKktJHe6wRqPlV+Oz4rJb5oQT9PQHhtaHihW2aYAEE6/nopqChUTYpxSQXo3g0tINpH18nkD6Ai
4dVs4n6r5pWlYIv4hSiNOmowvF8Mh+eW4NdSjkQcYHZ/tTIuaM9fbyLolIeiCbqzaSjZLmtBE9ab
Zy+Y/EsNxvCL0ea3lwP9ATLCxYr9+JmNBgrJImChWmjvkjtN82p8W+1hRoC1KS6LL/bGJ/QCzxhc
C0w5aNfg+/nACVSoMsQpAV9RonqIuppuSEjTrhetI3hWxEW0WwrLbkcwUdnACtS+PzdLn+aM8w0A
34ISlcIY/hGgV4yvizUwUzkqUhtE70QHb7DRSyDlDy2b5ZsRfvD052t+XsO4Jtoy4DU+Ur2CDx/a
IbVo6KhMWpSVBINWdnsDWQikqDz64oQLfvNCXZeiviNcw4todL6Xv5E8RbwS4YN0TUFqlWVaQrxi
knnww+dliaP5GAk9PgN3qPnWlwFQ2tApy5MtCpR27Gz/thN8fiqJpHcT4VAFwXFi560OOvchJG7R
J6YMLmF/Km4cMO1NooIG/iVPDQAEiO2cV9t6fpmG0Bhua0BtD20Xi5fCoRzqLMzJx0W38YUtNRM5
9XUAQdUkm2tWyFUnoRnbaNO5vd2aIK7Ljaw9zrJ+kO3LGrmizBrida/BiAYXZOviY2DzoZCZiITd
pCSNQ9PFISLYRh7XP4E9L2tCRzuAZFvigV9oKHj6G90I1qRAqaIYxJcuUVFhJvwKNvjdq8AqCzHW
UryMj2MJqIcpDLweE5Gpn5smpCfT4NMRvUCKBYVH+8XS/s31MP4A2MSgBxLqL5bob6+eeXFpoU1C
AxO7E6xofkEgzIq6JiU42TZY2M5XR+ZvVrYHWwwwLPx2OGQ+nFbwbQXExX6C6tbaS4OClvDOU5dQ
yowvahJVLtTobqLQXXNAYgNUxhCbR1X4rYuddQfdGsu0dLyNJI0cvjjbfntzKPQupl88F/YByCD9
wuLWx1TUu6Z88gRIfznpCAhWGNov5uzfHCtQ3WJvQ+YBbvUcJ/H3bTfNzSKIF+FasdRJ2ff9qZut
c4TKtMcfldgW0Fd/8QHp7944Jm0PnB/6jIh9OFhmJUVJAnxCLWJYovo1DItjW4XCzzuf6hANesHL
PFpq+iR6AvtkXHRO4k4QQm5EWer1hB2JMrdKAFrJwJvqrWOFV4MIlP0TJFrTXQAIzqbD6Pcmt03P
rvA7/SgDLjdnOpBVv+06qX5CGgyOcCZ6Yl8caZ8FNBjsKXUZbF9+6OFV/vpsNTauKYDwpSych8cS
iFQOALfRSee2ccaLoYEfzyMp11CuidqDUKAikw9rTTiehj4edn8+zn/TReJ+WOQixgKZgR8taIPb
FTHE09Bttl1VoosFP5OAOuJfzPUwJH/sBc6OLvQ+YH3gdf5I4g3wn8bduCypw9dyN7uOmrIVQtmb
NWoXNwlbiDjBfknxYoEATRs3NEsPOXnDX6SBgCGpC0/sy6EIusRXYXProLeIDr2P9htD+ej26Ryt
5gbIkXkqa+IMqS0XwxN/FKSE4EoUPC1AMh4rXlk/JW2o3jH5uj8qaiIM407Q3sLCK0/RGovrqoaU
OAnJNBY5cxxotOVS9E+u7aDbqiLo2FLIiMKfddHXNl9Fz7E1qAy+Igb/ws9/6aGg6gMViRoPJsuH
U/zXBcOniMmi7IIUamZXbUICXyyxhbdAEmM1lIeR+wRwjt4yEsQQ/VV6aA7QEzf3sojC20r7Lb9B
6zH6eQGWbT6Rwpxz4uCE3nRVBKAixt3PWTT2sbqLItlHGSpqOfySr3P9z1v+p+n8TXVgern4V1jp
v//4fy7+XwLqX4ma//n/57jT//zpqvvR3k3Djx/TxUv38V+eYwH+/U9xuX/FBJzd+L/84VMuwH9x
/t/+lar6X/7y/y8W4Ox8+++xAP9OpftPLMD5B/4dCwAqHXMV6G0KqPjMUv4zFiD4B7oeUInAwsB6
u3D9/CcWIPgHnBdQv2CFA9x2z6D2v2IB/Ogf6JIioDcADzGr0OB/iQX4VAccEBfYrDGolAAA/vns
+FsNtuiIOm+yZVqsQA54MoYtZESTXzhyU/omGC5CkPEwc7fjFxXoXGF+WfToJxCyBoNXgIELx++v
V46WsZKEC1hAxqYpkkg4zmsfTkWUgY1f5028hDFMRmyqfozNDM3Z397Qv5bq3/MQPk9PDrRNUBSi
DzhjkB99qJM/dmMXSpXC/accgEW17+HEHtVWgSl9mFa3/uHTtaUbUlkXmojOVdtpdL7yPH6q+lgd
KBbQXOJmsDw+VGLtqLrvVyJTKEKDo+NVMLF483KYhQHu8ecP/an+Oh4iRaB7AyqKXJ1z2MTf3zZM
ZQvMzqNMq6bw9T0rVobTpJDkYvIonrlWgbn+8yU/LzB8PNRANBmY2CCT+/WSo1nMNDuySidbQzTc
jSao9uj3gapN8BQBjSyd7jKyo/P65wv/7rmCmAN+AuteDET9w4XbMFpp51aoAuj+L0MjC3nwDKkx
wMFG88WT/byaUVmBbyIH9gxof3qLawnotBrqtKrr4AhHwrv052nOrYEWXLvwaq52SGS9tO0X++g3
DxgnCHauGwGLhGnw18/ZzZPH1gqWmsrA7q+lqTKuAULWXL43gxuDLcC6+vOzPb+0X/cuPMExxmKQ
X2hyPirljAVCVHt9k0KM6LwGrsJKlTipvrjM51eIJgJnJwhF/PAnURBsMqibHbx3S4DjISGVAJXW
zvbdtqL5Elc6L/5fPxQeHy4DjzbOXqgAf32QEXGrtqdUwQLuy8dINyHMY64zb123nMfMdKFfbaZa
wFUiZ4+AgpgmNI8r8heyXkHEBrdYi37mz4/68zMANodTkgIURwH5OJRVzOFqKlYYQUTvrUcIIte0
neJquShLeJ/+94tB+Q00GxUBitYPm9Wuji8Mr3EmdktwnHqn3Abgt2Fy85fu+c/X+ryGzsUN0clo
fbBhPmppQpxAEnsEsuhyjreeXLCGGoDa3Rft+OedGcHu5YWxC4wM1ebDZ4JjyCAyhwN9X1p9IVdS
b+2yBJva9hCxQ37D3yDfa+6bgmj5xbU/n7eRi+Xrw0iKsx1g5a9LampHPpkOn1FAKvIK5sdiurdh
ySFzk7S6mDuK0vM/P1cAVZDJ41QANf2xCe9dBjNSETapoNZcE1vXjzh52ebPV/l06kBSgyEOlQTH
HnrW89//rW+YI2mlxSdOWkD518yXxQXiT/xDVc5FanzW3YH9Yv9ME/wfhCg4W88yFCB/f4lqzs/7
b1dVA9HE09B8sDoW8bEA1rKrG4g0q1FYtiO1XflWV6xeslbNWFBrHfL3sm3aHTS1Nt5LJ6q8XTVL
cJx/fiCfYWm86LO87xzqhbHvYz/jqSqe4O1cU2QHqC0gYqm3Mgy4SJA0wpKojeRxMq24RjZRnK7S
tvtRao5tbKsfZRT3OgWr30O8Br/CV/v60yYA8YIRBsTu+YyDGOvXBwdLlWXSa+BidyV7GibdfLcx
5DUZeLbyxsqWOBcYqLAw0SeiDXQtbJoZ3GJR0qJBfAqipd3ROYL1NeaaHqKoWJbMH+aIb8Z6MOum
sx2O5ApIpskGOcM1C9eqL6G58UOzWbu2elcDFlOqaaUxTRk2LfnSNvCjdcRHAwhuYRwTB3KOC7Dy
7Idu3NbsxgJO4twoIMx5Rxn+HV0hHcioU9UHvsZzmfPz3hrA6kJvLwxuIp6nWzO45bXjFW1OmxKU
mrOY+i1y6xXOiqWpU2Yawc8Oe/zGkmh4+itL5kQYjx0p9/s20Z1GRzTZhlXPMpTmsnQ8qFj+vGo+
vhec6ujjgYScyQKoHT7UHFNXRjRatSm5rHXetBBEZ/5GgQH983XO1QKv+G/lzYeRByoOqLyR5HBW
Bn04B6WZhykeBEuoX4bihVA4ChPXrHCeUqfUKrHDCPq1dcvMIgtn2sjJuy7KgUO9gmCfBHH73ik0
PIDUn3ctLI8Yoe1o87oSJ89QAr8FPCXJskBcjZpW3Nqqsf3Gw8YTmWigCLVtU28R2UCTqCjsANq2
/G4pvHcJRCtdOi5lmKluqTPM7M7LMq7nbAv5zRkqsEisqJa70tcthydpBfiLpzmmoqMakK9rJcJB
+pvzkVjmPdjoXVFE3XVvKdPwGUJN3jHYJbdygvUmmZjA2c/nwjvgPABJ2/qDSYooQs5DXVaLkxUL
i26WbgguqlqktCJOmM8CiMOmiEkPI0LVQXUjVpMjwWFQyGdx7ZPHyz0gRc++4KW7qT9CkrjphanH
LYFc109GVJ4hR0aYvncAvieFhdtrxIgOXccqb1zdeSKZcBdr5vYhCXexZeTgNAhakkE93sDY2t1C
ZlbdUSqaH/AGjg3MSj2EZm4djG7KOwnFzMyvZhhPve1QM3gtnXGMfw6dOyhsNRJ8K3Rr1hS2OsYT
uLYieD5HD1xqZOZrpyz6GzfQ9R4wanlq+yI4kMnLwyFm+eAZhAIhwuayXSEi7XwityWbRy8lboCM
Ld72/gQ+PPghivU7kWLFKDkv8bcBK+pWEMA6ap57hEmViCaqF9d7npze3S0xs0lbF49Bu9DrwXFH
WHzpu3tOTJIlY3DTW8C2qVr1msdDDUcp9yN6sSIA49g0QXDbxe4Cg+/MQziupFcluNjw06yRYqmC
ooBuNZvd6rIuurdIhHelHBlYBrqsW42kMKTs2Bo5bcxzH7ulavm24JTmneycGyp9DvN7YDYEUHHC
S/s2LHBzzYHk6ahLCxOZN9+e8xCyGhaubRE3ttpgfFNbX0HCHmIhThucWmOQVjOeoCQkzEaYww5I
3p+arC2qokjLcojuXS7vwdhP/IChpd5XgwMrUdOW4xZeJuQT2Gmtn0a4HvAkq6DGicE5yghSgFJT
q/m6scTZgmdw4FL37QWfQ3PAmB1ic5fP2hNtouRwB8B0SqYaoQKzl0PB8jjI4BERcMiVQWQo+Ox2
v5rCZAvqeALbGZzciEADLtVUed3PboDIrDh4pzKGtq9RE0ILRq81V50aNcSugq/QNHhlyoPFZmVt
+sRWZsg0NG432rjkig7iWtUT1KqUe6kOxEMbBO4+ivld10/9zbz25bvQYbNvVX2S03gP4J5vwgbi
nCF4gVPnpYqGWiYIGtDf0e28xz6KmyH6FTZV/5tcbYT17Pt75IhUqdbNrYn5FVlVe3R6Hxabwl4F
JlrSipfPrn0f2vKB8fhdLK5JLSwHq8MvcEjB+z1raJLGbW/dfoNEDHhORv+Zc+gN64BeuWQs0wku
ZkTEPHjRdNa5myMPzUXLi/pso3/gxPW2SCH7CVP7pmP0OQ66V0eUD3GwBAnkg2HazHArjty8wGw3
Aw3u1jf0d7fGs/fMqZycIO4joS6Bqrvr2lS1TZ/IkZ86rDFYdRNk0932BWepQOE9qQbQuHuO59Am
TAdkDmxE6F7V/oo3ZLVJheQntJ+wedcKME8X0g28ieSymfwlATOAuCmfebiCExxMKJwNZTB8NI3y
E9GStOdgTFpElyVRXyASx0MI4DJ5O4KMyaT15D2Ul1u0OhYNQtBnBvtkLmsnqTt+Rz3sIdaqqwqp
UvG0NOiEyx9MCH+P7i1gm6Gn/phIN3gH14qsPNkQ8z7VwfQtmNz2UGCfnXxlkY7TVrnblbh1GNl3
pNNX1egSBEdRc+eTYUrdpn1AMNHRRsOQDfF5yMBXl6Q0ACXY2T26iQsLJQGCIAHXWYj+aiTUZTVt
jhArfWur4jAOdbEtTQui0J+zyQdYBDAnho8X7k0+lCLrNBsv66h+QLyeQjiI6+DFNNF9by0Bezg/
yMnNScBvavRfCVAKk9TBclNJ9sbDVac4Y/mJ9MGUdUS8jRSGbU1xIrZthGwA8Bsp8smCTUwrfiG7
7o2K4dCLih3iyVOJqdufjMwiwbXLnxgP4RWtCydjqxLvU2ERFlAHTQ6VcH0HvL1+sEWPlwKUGd0N
QUAK7Nw4oF2xAV6e28rZomvedguF8z6kP6A/slh1ADXmcS0vyqZl+6Fbb4Xr79xF3zVtd5rm7rYd
jfxmQFOWHD4sIiKEW3TszV1rnkHo5u2tHijwrBV5Z2VRJW4/ZEVthkRM5SXc4+Ht0OtbJ1Bn5ZPZ
hiEYQWUuvHOIQND5D6rCcMFiDmEBv5aVOPQkOFmjb6hABNo860vqV5dV1N0XVqPjBGqxqxb9UyHw
IQGOfUK6J86Ntj1pOgfw/wqV+MT5GY5xt+KlUO9Yei1sMXQ5VmqEOKSBnofWywkGk23fqDZBlxHt
i9HceC1Wf+7iQYKQwAtvpueIa1CExt/CQOUjXbQVEAbxpUk8J0woFHCI7WneMNmIxB/GhSQVVfNm
APCHtWj9OUEO6GU/rodpiG3mzfEzDnBIXkv7vdBliWwLjiLuhRJ9CuEn5HAgA8jAYEzrIIVUdr5Z
kJSXArpoElg5VkQFFSppdQElj53IRqi1QLaHzHVcZr1TbQWDjthf8W+m8raiMSo5kunSoWteFhJH
0DC2704J7zLQgDhn85RAXS+QUicG6LC8qxZ9dLosxX3Y9qcQGRxJQUN1Ttt84Yt71Dw2V1VRzbuA
+zBaeyMSSlbypLuwvKibNUrnrrhUqikyFwADjP17p74vIr4rlnWzaoTY9O6xdMRFJGTmsAHVuG0h
Zi+IAyFdr5AC4mW67t+RHfsWRuWen5+tCO09HCVtslo/2i+w2sPOCNtB3wCGG2jtbirRMaRrhttO
lFuy1DIPBnqN8JokcO76wC9yRMJsQ488FpjaFomsBOpfo9PIndiCMau6DRCNd1rrw1iqo3XIdnCg
wSUzdO5jQHJerbmO2DVQ5QenKd5l6+fBFGRAjpCSVGZKRXdL0FzZESZp21TP0WChMl6gkypxdKPC
ItYr87UP1zMdqtxj9TXw0zo3s1YZbbwl7b06BAZWFug48TqQBLlRCP65lBLZFFM4Jq3A+e4Vyy6G
zDMpW4gBA71CDD/c9f2YDYR0OQOelgT63PAQ9ehM0OxFxjmBULuFwuPSbwA3hYYcXTUhismppkO4
eogy0D78CjU/Eh8eAhVYPKCJQNBJwvh7CbQnK6p1OJeCYGPgclhXebSsPVWh0bCDqLdoDUgaLRIi
RHb2dzrDE4PSNGJLezXbUOwCiogoh6F0I711gJ1/560FeSgxldxzFr+Gcwe4KNrDpH7LQnIfQDEw
jQAITej/LCOmMYYi90FH0XcnlkNShh2UtVHvJrNnL0qIPlOKIoAWWz8DXn+ZJ2TWFkPUZWHL7sPF
pUg1oLlqa+g5rJEHmIXuK87uhCARYI3+BrHONxE36hKqPbCPyn73F3IYkJQKwegsNrUX3Zpao29A
TmvW8O6aVMhoGQsDeVoY7dGkbVcZjDkkqgFIj6DeADS/Kgtkf4zQKOagW25UL1+rYYaSkogr1dXo
tyYDXwAbEbvj1jfN6OLwB44EnWz3ODq0AZXevStvuXG72N93bPUeiDtBjrdM8IoWfE1ndzQHvdir
KQLzSijXecAlsm/7tYkSJvoX2cwnWncXJQrYobfIovEw9WxQr+DWAhZYXWDd2aMp9fPU1mEKfw/O
ObQjFkfoKYJgtNjALtruCqHeYOA1h2mCNSkS5VU/FVftWB4WDVl7B3Ey1LsTqs6KcBDiL1XqDt2S
uEzQVFUIZXKoHTLpIcJIDpWbxLJ57O24i5jBcYaTJXHAYK4NaU91ALEfcI+NndsHRIT+sEHPrh0+
iguH9etBRT3NmxKv2SiXZHW48AtP97lTFXux0C2IIfKsW1w4rMkWiUvYQWyB67gm15K1ORvXR66n
RxWXI1I8+D5CMhtOMySAIXRnNN5JTeMN4tLqhHb9CflmWRyscMzD/4/ihSanasTtHEf3Sho/Dexw
3TvBt7WNr+LZ282N4+4H2BWR4sPMpp6XTPLxwbfkwS1759gzdbMwftu76raZoWmubPns6H7rtdh3
NvBP56yYVI30MATxAXKajPXdhXEGjCWYYFCqczEZnFEKOXLzsF2MyYBj7GukKqKwjO0lC5BSlYas
XU90CHTW63hfNsWNC1I51RGy3Jyl2Mddk3vN8tjUDdvw2s2Mi6EWkntMyu7PqTPnvdtBMQrrawZz
dwfCHul+KhkK6mBmVdpjmFFppTa9XJYwJ8swzCkiUeMHDIzTXQzfKPKhHIIYOWKQiYcMZ4kAuARO
fXsZ1Gigb8NyQJmGZrcedyDBxQWCP6sbw1X/c1Tw0J/dVmgZe6/0Lmk9KKBZ5eSTQ2GA+SAAOKDv
QHKCRxjVzI44YrmcvJBPW9dE5rErZHfVlQxCb8ctSY1IxZleFx1ifyBX1kW4V0hGzibEurANthTr
N864zFk3u/dKi9k9zcEU3YfdJK5hr0DUBV+vLC3u4WC+geDKeTXG+JueveC861K5vkLHd7VEgwe9
DZWHkK81ar2Qss7hzp6eDR4QVtiItPZChZh4hb4JaDPnEfAsMmJYkOKiIPze+MiKbXHfxtS3BYZn
JPtcUx7fAAiGvWhAemoTB1dG1IA+ViUvqEHecsoLpDUHQlZXQnaZklGVSuWkhZUMwcD+az+wKGto
sexrkMQ429Xi44dsAIsM1m4aDKgyw8IPiEjiGWz66kohZ1jP+qnC9wkkY+/M90NEn1vWPUZRCRCu
RrKJ6ET0Kk1AMHNA2g6ayh7LeEKnH4kngbR1oI+Do3cNzpIEOYCP9cpqRD7ybxQh5FhznQoSWF5T
BAciqRy5Vwm6vt4mcDVMDMCBi8GT98LbwDu1bBoo9KNR7xF5hlRV72qyqtwIQ4sj6PVXVUm15eVq
7kRHGn2azdy+YC7jr307sOu6q/rcICLhlncUyG5p0nKFaxZcwnILgHKzcnYQS2ivjUZWFxn4Cslt
iPNMIit0lkKenJYHd9jgL+Ngrkt081cwHUiVsFhVGTKfIJKuJyCuBYidu3Ua7B5lcYClhbT3XYMZ
r7ZWXkfRvB4iGz9ZpyUHRLxdc+RS+XgPR6iLVSai2D6SsMFCQNM2ZuPIkGWlMNHPCKnLFjE1DzFy
yNCAN8Gdi5T2dAhdYRMwmXsz9UjOC8LlurOxeIN4K3wLIHR8nGtE2tWT/9i7Djsi5aW+kpygDw+M
vKhZodFKgEVPSukksjcGMhN6hMNxTk0XBAlbxswRLkj80bzJaLzAawGDtgwvYLbrzRB0N0uvlpdO
AH3CjskbSJaBtfniCHqkzQZYMva6neY9U3WzK3XR7VQX6AfPwMiSIjnrG3UnmvVoolO0Um7ux40L
KQGUXlXcVBlEaFkJaCjx+5XuPIjEU21WRFpBFb1xVnsHKaVIFfWqg3VGnWMDVkkZxAg4DdDIDGz8
tqzLT7gi8pV5yLFBr5jWM6VZKTzEoKt1lNtV96G644PTkE1Dw+Fi6pAjgrxL7Tz4AeLLKO2QUcNj
+QyQZAWgEjomBUHvHmlpnC3U5MDPCDyrYpqvVw+ddI1s0L2uCjgOYA2ok34wOtdON+4Q1x9tTLPA
KtLRmuzVGsrLoUFuXsl9goRcsapchR5PV8b5XeRUwUUrIQhqaLMJvaB+rqdSPCMYLTCJO0JsiixV
54WKasjxVQreD2RDuCAJPKMT5PIML3EshX+SkNBl4NFrkUiYRt66M9KMeamXG1XMaFSwd7gPr7OQ
WJArtPHJil4Q7aJZu9DLOztrAEgsmpC5NhqfRDcKKVYQJs0+FuRuRbpYCA8lwxCF2WdO+STjF8jU
1hDDiRUxOm7Gu+IARe2g9rqYRAuUGtjuwZ3c0v8xTYvG7p3moUjCxrbDd4nfuXzz4gG1wK0mj78i
G6Q0J8dOYblfmnnkmQNa4RGZJ3+xEghozuYR2yuRlHVOiiIBLnJF14+kwdlxt31feMEetSJUGIFC
Xt45jR++QlwfXvcY+Pku+otOGPpqlHu0p6uPhqKFYQsCcnZTazR5Bz/WkZcX01gtOwWL1ZMKkamc
QgOJ/2G08eSUrAYsP4CQiMiDoGZFWMQ6ex5S7qjxzWEZ1rq59HrfXNfrLIfcmx1vB2NtGKdDIArM
V8AdgWcPzeq8Ik7agTbfYerHRMnoX60aWsRMBo0fgCoLHL7p+UJMPhiFuDnA8vjKAiMQaZKBvITR
BpWLAOnRXVwdvLKYWCaBqm4GQjcYt7euJTerb4DIsv61iaKtR5dtvHS3ZqmWbwoqZ3wnyhuSUgEU
jlewheV6GEPgwh2Om9jtdxoQ840F3Lpho3CPeNvPAl2t0PMPNjk2q6LFPo+QVkMxizSWkSk0QcDu
MHEBb8jWBZPPZBARtUoALuchXuS+6iKMmt8HsUBJ7YQEtBGiDXJM8VCAa89WKR/ey5jtNFm+u3wK
L5F05yCBy+Rc8/4KP+LfATKv7r14Dh5h8ZK7OUDS6eSjdAsb7Xp02xlGKAG7YE+jg8K94stCIoZX
DJgyGwevBV5X6Tiut74zqfBmgY82QsCjxmlghnDdjj5E5UnbrQZbJOwb7zRHTvvK/YX3aSVL7R/6
cWlgQ6vPdGvuLlQuOzmWGOj9oBrYphUT5gIVeRhPMDfOM9CdOt4qxVb/VPZyVVnfsSDG10x0ZZt5
Sw9xZFvCOpkoRNo0ORYMG3NPa+Mc8fUZJLgqZh2dv8CiJFHmE0gMitYG1YWruRMel87x1B6vt7Q7
V1MK35SZcN9R1EM2Bs0IWFioOfiSq36i1Q06ZsPvpxpuvlNlHBwFoSb474pTiCXQKkLO6HUjguNs
W5wGPy6m3LTxKHIR+AikUAXjDF8h83/ZO4/d2rE0S79KoeYM0JtJAX3I4428nRDS1RW56Tc3/dP3
dzIiM0x3VVbOqoEGchJ5Q3GlI3Kb9a/1rby2TqWxzNZDbo2tAffKUcVOF8Uy7vzSyRu5+nWZGPys
L98HIpLi1lZYJM+5ZKwT6WOvmmxlNYlaVoFb6to5cBtT7PgvxwgYbVocDfJdqJmtJCLYcsMyvXw+
OHXJlmjn6oZneOk27WB1EA0xKozPfYCf12qnRqzw96tdqXENhMjXxLe53rQ7fGTjdebzLDtl+Ku4
UUEEORKHG+fOy5JUYs8s7jvwlhe2VC5ZHMCPsrXmGxbv7ihs91gNfrEr08DdYle4Oj/gCVeEa7bg
k5d1uqR1qLQWepIMOBtV9rhPFVGD9jp8nyfmWqHj9tZX72fahpl5/BpXpjKuslr6WiqRjhs1Ykri
lt+22Q4JmrPl0HbzCa9uyqFO8Cw4ypLHwrMQglI4vJdymqedKXwynH2QOVxDqngd1/lMFU4zc3Iv
VaUer2OVTU/I+HVq84DH3PKrH1IDutS3zimJ8/xzSoz5ToNOdTcoMYrt6Odt6GlLsl8I7fZmhefH
0cUGe4aLkFN4oIcKFYezDNRGS3rzIFgi5GHiQrY1+4JualiUeRDLB7PFoY3N2rb5SeZl5PpHRJhf
2kPK+OQ9F9UY6UWgoq4C5ld4TmGs9FrjM50FwcpqRt5aWt3eLcoCrWzE0y1dC+Otx3MX4nB/AXNg
Eu1ye/OzQEVgcOZ1QGMTe37KGbQ+p7lV3+WG92qNCDujUfrrchriuzgGhrPO/fm2bGOdlYHMomdW
gOra1kOs7/ybPOjHGCmP35M+F8QgK5UPe2AixdZ38+Bz7Itu25CEOhljpS5WTPrYQ6Hk9u2YKze9
rnYyfTb02Dp6Tf/Z5maxxuq390Q8nWbAhxE7RncJOg8oRFI3TJja5oPUsogjQ5pgsdrqqpFSl1Rv
mCZaa1DlsYgcSPmfvUbgJtSCShprQBc8Yfnozh/Sy7MRIKVmcu3P4A4xuHtN7bl7HYkObkk23RH5
tM4W3NKb3mIyxAGjWg46k+MgmhmZXUaOIhuakIYv25HqrlpSdau1/SEzPHQjwx29HYICqpXTWghF
RubYaZjXi/WWyoWg7+zLtVXP1UXZib5rPXwANLqwNYcG/UDbMtOLtYtRJ2HhWdL3NHZ92oxqPSYj
jIm8J1LLuurDqC2bCZ04Bcip5USaUzRDsn4k28hFETNrHOCH+GQhEbe+H13hag/WFSo546jcMpAM
GOqlsUkO1+TO7mmFHiZjtWwWW5fnRBvaT2/OrEuWDz97HW4kd6Vlz50mCb067kQElknfV2U97aXL
QdTJA+cIWaJkYKw7W/jkwKmILdt3k+mNb42ip4fKHjmfiak691UycvKAGbpelgqAtgO9m4D2bnCW
Hfc3sVF6n68afbrHE6I9zqD77lqmYhxfRb3h+cceEUCNkoWwXhRwNW5uMUTtxOFJXE1T7d3jVq8i
v86KfQDQZNdkfbzrMw+FTgRR5uv1gVd2n1fp8oabDlU7QXvUM7e90+xYEYqG6bhKVJY/9NZovI6O
mVycXAzszWaKjuOaN+YUPOfuVV81iLNve8cQkQ6/MsSOl1LeFJTc7ZS5y8VibeM072+Xpi84ZhQx
z38a/LTGWH2VefWzyCqirbLvQVia3kXWtlSrpseB6qmev4eZHsPua8IOV5A/mikHm6w4zJ7a+IVB
mZThbGyp7aYY3o3jJqRLJ+dgmiPgG/CTYVDPbwqg6xojyRNR7R9Oh82k1sqVMTf2yqn0U+0E0ua4
gF8wNjXORBIwE8agstto5fV8o2lFVM1VE6KrTKec27haLVN6jxReHSe9uB84OQ9+KdyoVlwntJ5x
JOmq4FBPgBJWzsyVOSm1OT2qFiZzMAzJEZ9Hxy+CNRHWOBtwiYZVDMvDoo91lLOIrgce4rAYFVYq
nWhKbz96evZZ4hfbOD64TgaCpMCF8dQZ+Q6pHYR5ML83ylCg8sG/azX7kbBGYYeuNT8tfkPOoxEj
lsFSLXO5EpOfHrSlDF7iMi4RLL1Z8BVGxlo5lCqL/JiLAUGFJV3R3KUdC/IZUT2M2iN9A93B7Mf5
SGSGLS3t8x0lA+ACrEndKOkjKHlFGzImTo8+MYcwxah58QtCpzay8wwwaYumyCWEa1cIOBbnX0Bu
OJNl8yigxqxyFtV1VZTOpmYX3NiLma1nrSTRh/ZyTgwXLViHLg6jX8G+84JjV7Xsgk7i3OuxN5+W
uZdPTswlljhY/qq52n6etQPweGjPQ1bXJ1TsUO/ad0HhwG3fO8HRzUqwDIZj7GSrqafYt41jK3X/
VCdSfiEe60ehyYSgMkVmsSUAgSSZfoPDS4vXrGdMHRiTMfRJqtAhirhrZkyEtMpxZqwXKoTIaq6J
Pgcb09QcyhFyp7vt3Uq7ELCsjwkX/8dGa/zbGMfpujDQwsxkmZZwmIv6XjebD99S1UkVbIcbygHq
ndfU7lqA7w67ae4+g44pf4GpmvY4l+W5NI/uxNXrPCNz3ydjymR4KRNJ4Aip90DECgmXIyMToBp8
rjTyKNa9aYtmYhzIelFuEfMTVC0GrGxE2dzkhVIHEtxBs2rn2T/UOflAhtz1+8xKM+14q4OHlqh1
EmYNPQ6pp9TMJFOrd/NksAaIguQRdrVd6c3dGm8Cb5tw2vYlhtULTQ2TVBsNJMnUCuVOP06tZh8S
NBUztHrpPdmJqX+n/hzsupYz2TCTRXxqHFfdjbat0Z7Zm+e28trD0i0vmfTL88QV687KnPZQxm5N
ymguU9oMSmvverJvkdFN2iNADQSRVQ3c7PVpPiPtF2uHiyGVBMj49b5wAWyv3CEx0K+TdrAjrUta
GEOd3oe101Q/ZqtK+3VgLvFTKrv828rjgJmKxl7g+0wauk7nsVHBkPHIi1oPVk0tskezmR17hSvO
9CNRS4czsKGOnVL5lgWNM1vhLHjAuDeOWH49Y6M6IN8rBu0PeBgm9Oy+viWnmvqP5cjqB3yXHyeG
N38jEfSA7VKRaDzbeCo4PGVucvCriuqLrnetnVkhNOhNKSCapvQ7RPY0OACkh8aYQ8Puk596Rwox
Nz1sWk2aH6CkG5+WGuWhCxbWBwemNNmw5QQNhZsm5NlzDdvqxVyWz3SqfCbyzL5zh3VsJB2c5950
AUedb7xGGxtGg9dbsl1/2f647/QmXpF6PNde/yZ4yFETJ2GGok4HjEkO6d3JzrnYNE1ZhriuqhuK
7apkjQmNVY/T9s6ItWsSTKAsUV0mQ7iD9dZISilW7gw6krOK5mFB8u3V4Ho/kPHEhjLILWCocZ32
lToXGXUTbZEDMVBEFLBkuyswRTz/rRNs0rkt9yaXhtCa/B+Bl2BywEy5LaXRvWSakeyDOiaXWnSy
3SFHSV4gjBBcdokXyym55fPGR4Qf75hPGQ0ANMENm4UgzoZKBcTjhV+SlnZNtDDF0Ah9LuXjUHP3
jNwSUjZ/WJ0X21hu/aCxUOXnRFsOrKvMaD2mx5ygEL2Yj9oMg1YlD5+/nkSX7VVScUbnz/S1YpFm
gFxKHcUMiwoXkmQ3uJbVRo4+DusEY8kG+Q96RDXa9yNjxg0RCuZDno0Ja3LeB8shamdwCgpzmGM7
bljdKzVX486Aus3Bwa9AfCitebV6h4FqU9vea+toeAW9di7PXexkx1Gf+D449MXMvLgvJz0Ng9qg
7lILSVMVMxpoX9XLXiDA/lPT5f9hucSl4+rU51g+d1//L/bvuu47G9Dob3b6xW9n4o+l62ZEIStM
PTZHBNas660TbOx+Hv3ug2G9xyCY2i8CMgG3YPgCYHpWcqowuLIaTrcBE0lOY9lU5auls3qT/pcu
1X6W3cxwJu/rcvzVP/xbsA6r1e9tsn8M3v0xh/cftEXwv79m9f70r/z3sn/bn/W1Rlr99T/1PzD2
xyZ8zTD/58m/vSp+/lv9/W/nj3+0c1/rdn/7ul8DgJr9C3FYj0AFAy8cA6BW/p4A5I/ImYDNYzh+
TSjYOn/b35uB7V+uAAb/2hwMmMUy8Q7/3gxMYsK/tu+RMDZ9uDB/Tzf+6XdJCfJv//zHJBxRwuZ3
Y/DfsG7wZSglRteHVflXwkRbj7W5AFGEfZzFuy7+mLg64CxgDt+xHjLuzrb+FKRYc5t/xuZ0/uxK
/pUpd6UNeAEJJjJwf3lFdC5/XKksuK0QeMPejNmzq4Vgb8UesmeEBAaqHd3ugF174AZp56HohQGp
YVRowqTlwrrM6adw7D4IlZsXx27k/ySX9DrMJc63FJPQkU+XtwTwAYOCPL4VHHp+jKMGYj/WcbXR
ERWvk9bpXlrdFPPKz8puV87C/BLGMF7nq9aQbgRnaoxDwsSjX8yNea1jPMVxGtyx2Qs4UjaX5gRn
MHmZZJyeCQlsXK1wPjS9Eoz/rY4igsIqUdG5DZBRN736m/Yh5+wzBrV/XX3+pXf2v/dC/j8XxjX/
q1dy2/9safOY/96Xfn0fA77it5fRpKQbV0wQMLIyqLX0eB1+jePSuU4OlZSErhskYm3Cqf94Ge3g
F88i7sZbDJ3BgZH9j5eRPyLDBL0dB79jGf9aHNf4c4Se9wF0MoE6lgkXVBaOfV7WPyRcTI9KogWD
CTNQAi4I1/mzJvvs4tVaeuytktYIKiagVjfdOcDYfR37c2xxhLf5w4f2f1kV/lJX+ut3QjLYY++6
xnQtPow/fiddXNLoDCVtRdMmI9NBvNOpIk4WF83vuWgYxPtm+u7PTnpjU7fQcRTygEMyO33r0JEp
0Zk7585elL3rhoGrn3QNca818/JPUkF/jiL97Rtl/yZ5YwPzZo39S7CBuT92J4uPTA59ttEyDd+7
PHigAMaS9srSj/8pEPe6Kv1pyaQbhWgpK/m1F5USrz9/Npos/SE2MctSH9OXCzg4vU4fNEOn2s1l
Apfgl4owDryK3E2iGpPzyuoma6V8ka9sOuZWgLbQO3On/TWX9f/f+n+/Bq7+8434f/XkTwQ4mN8j
+Ncv+C2C7/1iQGM22Cg9OE4uL9Wvr3zwC0N+iLHkMK4Jfehnf3zjdYMhLKsBj5ZD/vT3N979xYJd
YutEJckWsXf/K9svQN7rE/r740QWBnHFAHzKAdwgevrXiGKWiC71sZuFejDgOu7LMCjm9TR6rxgR
vY3lyUPQqq1uba1G34nJ7tb29I4aA0HQxIlVGFX6iO2on9me0vxpzOq1JmXI8AUV8xFQGIEIGEMx
TesgPq+2GMdFQmNuAXB7I8SjgtAdGXa3H+B/t7a1cusUHwa3bj8Z9j3zXDN/7ZRTn6zgE23kMNMs
g8TJ04y6H9lKRHVCj5x3yNMbsw/2kwv8zzTNc1WZIV6we2aXYWW/aNhTumAOC83by3LJ4MctNzbb
NjV74sWMTRlieCRUizGsPWNHxcOKMJlnB72Y3yZj7Lgi5VtpNBtJZr7FBWWrmK1e25l5h9ST9Wvh
UOeYvNeIlel4MJp3fGiIUv6rm6/tJmeheuurrwa3UkXXlsb5ec5Na+ehKA7KhKHmsqz2+pMsym2l
xqc+t3+gAZMyDPKnejmYuAcEAuTGz7tToei2zPC1aNZ0DHJt5w0VPvBgw1ElOYxmC+U1S3f2eG9N
8WFMq+nZk1ao/EcvuPFQgNaMvVlEDFio002bpRalI2W/RTuFSeCldzJzN22q76D1bKVZnvTpPR2y
4K6gj+a5bnz5aGiiP+sx6OvOxALVvSf8oErXXw1cNYUu30y7OXQ5t/v2IaPqg+so87YEm3+ZdqQq
EhrP4rbeFTX41eCTyNGZ/rMjk0X8lFOzZoJ1cMiA4tezmL0zIPKleIZXGsqxxKiZ6S023fq2neNn
In/yk1HV+NNvXmLqjJxp/mjzLEpi/7bPitsWAb0gYkTORIMvqhVxFFhTEpUlBVmYEYBlYv48mcj8
qkWOtAP1jCnniUEI2nNZ4QOpZ7TpLK5WDO6LVV8b28kyQsz1EZ0ioVM9Qc9Yj8ZZLMWd6TZHl2Rv
SIYq7Hyb7ENwQfhakcKMVC92ZebcNUH8XNd8pDPAz/xgFyYcPQILTN3GutzHJRe25Ny4e8KIoQVS
XE/tHQTEiPIibKrlk8/D7XhfGX79uj7mXnmjSs6CFpYH5wh1fDMPw/HqkQ4o4UObfhDFjyU5JnP2
ZDZH/tWza+X92kTvcYf3pfwM1J1rgytI6b2rt4S5otSYqKU7EspfTT1qWWzMx1HrPo3YW+kT0C47
vcNqh2AIelO2MQQkAlE00c0U6FRSPMlZv22X7AXL0kVf7M2CZdFwQ2tGxUgnGfreofCr4gSUC3mk
eZRuctd4e2sq9vTjmVGJYFliUQ2Tyae4IpMY0IcEO6eFl05p35PwxNHxs1tqwc6W7L9RYt7Ltk/X
y5y91snikZfTsRdal8DE5UA8V0ZV5sw/jIW6naXBIzEWNbVVcdVFOuvGurIMVIyBMpzJVzflEmDk
lpWNaQl20dhOtMBpPjV/QXtrKuehter73B/PeUDOD9H/O19m7GPeiCbdJ/ZKYsZzyIZVgQanEoO9
uif+s3FUekh0tRtS7dznetQSRms99b4wnA87vDV4Cj4NelCLuDu2s/aAByILvezNhohPRK1bT/6Q
bKoC4LrmzwYyuj9GtsZwSibrRH7EgEqTuvLCejBvKiq/ZBmNmTu99vaxXkgcNljmfJoI1oObpF9j
PIIAdwzNJLU1B/NuYmaqx5RbWV5LYKNc9Pexz70TR0SgtJVfr4XqurWX68FWVTymElY3kWgsdkre
5JmaI0ofmLGTK8NfLV9L039MMdlts0BT7BSL/mOQvsUgo7BDtUDwB3S/lvLF9ORr5hXU78SvIIc0
QoD3JLMaVfA+0/9I2x4RayJyKDv7uJlWlRtpuJn1g01tJombzvpRtxD6eTUaVkh5RGLel8nwjgjO
mMWPd0ViHXKlb3Iew6bmkbU+BJiHlOifJRijoKHlIwBonLT1ZJ+vDJEpXvBX00Suz6+K9cz0aPgh
AOrJEoBNaedbZ6m9deHVHrDo8d6I8ayM7cn0ERBLgoiO+4CrlJo4HYTpsSn9i9eIdzVNlAv2E6mP
Ihpaxi3tgzBPxG96F/0qPZj6Ei3+nW8nbyXNj0z0ACT6MMtOtv0AxJkHTA9TPXm3MxWRcl5hgt4m
yFdjgNsX1cev96o9qeQ17uS7pnip5WGwMFIVpKUJLg+Gtw7KAjm7pfI6ucih23LwPzvw+IRHZYt8
orzy2kw1E/mZj3S/0G2bWPO60r1rQrYmAu0Wm5TJ7sVtEuJA5CGwQRLA6zAkqnE4aWN+Z/J37+2l
6cIySZYdcbqw9C6MDbdeGoRQny4F9bv1wG95Dr7sud0kEnuO39IC7HSAiIti2w/iOGVy3zOgSxoO
GtjYQ6cehn0A9WAlYFdHjZ2/MUR4jMfq0y4aVHaPfHCJTRydveQJ1hZ3U3f18NBXBhRf/8uccjci
f/3VucFLZ6D/j0l3sHnzmRaaC2OF1t3MJOGOdMbGq8rhUaESMNS9ha3kbXI1FrxpsdaMllb2WLwa
yTxdm355F2nWJO+wZKuSH0YfHuWU7esA63WniQ1KDL6m9tWxykeokXcGeb8NkOVNKmPSUkLO+NAK
weyV2t8OKw47POVRYbdYx8adNvG0RQoOawIK8KufO3fYe6XNh99AEl7EMq10TEFioYnXN451TeAh
29uGidd9NPWtpLRjkjO6YH6okEAKIsE0Lh3JWXA6qHtL7NnEzDAHVZYV3paBWuRO4qZu6cfVtZ+D
hSEQ2nQwizujlA+NVd7NGsNNd7pnxL2erLh8s+x8VfTuQy67N13/LilC6etvylkODACN5CPBeJda
1X5k1jBp486TxTYHhK54bXR6vKtz2pwH/z02qZJ4NnijY6b/dP+NzcGZX6qgIl407/KM2DKrrIH3
OEVsDZ6tOWeu+qHwQDjttDHzi+ALhwm+Suvyu7OjSXceM+JMVT3tRlrA66R8z64HPKYZ5gspNvC2
hJ3wkPsMs6kvgsWIL37FYftoLDgoBkaLWv+QjT6TKqaFdZx96z6vUp9TkjyeRI1vzGuHS5buufQe
p2Kme7nUL+TWoKraP9pehsGk22s/q3fEWja6hUEQx2lDcwh5NhExnjR4he/c3OT4Nn1WjdyNxA5W
7YA7wTcPpnD3RYKzSl+mjUPy08/UuvPlvaHOJl7uJTXvevGNKZNm1ZzVVj+o1DxYS3ULA4yq1hI3
WNvlrPP9s8RdELjdOhaYpK02XlcOBAQRPNtDuxccnS5agSOAZIkRqpyF03YYjRDbveJ/ygl8/CxD
fbrmRODV+LW/YYSE0HWwnHNfYjZyCuvbjZeneuRHoA00pLzDuw8yK96588ilIjNvaznhqC7vnKb9
dH0Kkqmno1MIkrDItHtGjO/MA9fL3xK9xk035/uxBrUto9jh6lCm0O0R6rgH0JrmZA/98kQbySpo
+UBrtQcpS8Olaa3wE571Qh2Mtn3u7GUngvnFScfnnIw3w+cj+0Q4km7Dnn6Ulh4JMz2bdb0zNROh
ZOmPk5ImcfRhZM2eiCN55aYyST6kjJnN3GzWTZYer1OJhhjWanFnLLUGhsT+MVPLLtDyiKvO48xH
ro1lBL2JyMlCXLBiZKA6CsTdoXvyy4mzbq9jp86WbQavAloFid4Mbzdl06ux139wdG3fXAJZUT4Z
+oWaTkZAxJe2QlkqHAhlV8TITTdyjdy4VgwQtaSc4EjFttgl5ryVjWHtAHc6+4LYrujih8Jdktti
0qpwUG3z1C4tK26Kxu+RZ6ZMaVqY8LhGo29gI1BgSsh+wQTOWXobY16glsmPXIbBXl9w9Jd8GGR4
Xya/jm81k8sejgsCA920mWOSmq3V7LzeeZw0xsW+pEWghsAWNpD0N602GqGju8PKrJZd7XPxq4d+
7Xup9pKCAQizyovfCYPdZtfhuulwYjfM/GbOvGVjUq24L3Ic+k1esxyA5Gzq+oBZ654IBBXRdXNJ
BRVzVVXdtkNMarv6EpmzLlp8VS5UhTXEdS3MyurDgAlyKwjKfBkOsSC/8On8w7c8Co5u0rKWcPQy
bevXmjp1Hv4uVxWcDMALS1hDJ7djI2sRvH2qYw7OYD+aEI8j4GxXDr6+c6qKPKf5MZjKIguGK1bY
JnEFSenzolxsI0Nr7Tn/bBujZfFrMuD9TcXQdcFgrja0fgK7JGkl873w2julBzeAdENymXSWD18U
na9Ge+lXbptE3mL+tKr8VGGL8nrJWZOXxey9kIaMZN0ZGre/msaIZazSG87xGmXtuN06gG24gSqX
7GapNjOOqNBwMFx0unpvWvMVl+S91Zi7WXmnWsp1R/H0xJN9zEkK2/4bkHe4C953JXDMVfnPdnCo
q44/gP7szPKHHzyT5Xy2DPXQFvajAy7lEM/pD81zP5xWvdelevO0/l5Y/PSabd6UaUs57OJ+NAmv
go4xN0g5Mk/dXplNZAHPFuKr5BJ/TF3kRD82GCIOFvWxysFIgCGJLAYfLweJrF/Q4Z1kA1aMU/tc
4ChqLpqmLZgp78xmSndW8d4YNAgkOkNr4XQ35LzctVMUBe2g6qw5mnMxVVGi/tVE7VKSevq9Yvuw
C6bLlGuXor9Ojkdmo0vDIgOjRhYBix6qxdQd6iR5Kar0gSTgJXbUpTHzyCk4TDXL14AjA3w0gb+W
sIHM04g5PPkyl0PbPK5nX8dZCARfE/dFM2y6nJnF7M1ka4ddvyiNptrkGx+PCeyBGoHhFqLtV9C5
MqrtjEs/YZBiqV79hdypm2Iv8lAP8SgRSHlts5IPSPe7FZTqDIcqjjEzSjLjXWTdrUjjnbO4K+u6
kZiuJLBAYy96M5fVhJ4TZrh2sG0V0YzJwNRoHbHFksrpnxyzxIVRejBoPQrZycoaYwQ2hfINgj4c
JVcBK1Xuzru2Y56coBD1lvmyZMm4EjbyBmYCN8atMXb7tHc5Snkftqh3dK4cesFO2DX7HucCZ3eN
2VKfg30NilPCEXUeYuO2bdOLI0ZIJNqzqLnF03Eh2XEzX1+lHFt3iWr6k1fPKUfRaT8UM+bINOu6
F05E/SmQ5g+bva7TlsgYOfr5KZBDfQBWM8wj3j6rmYx9as3iMuJRpp/ESt1xtTQ+MNkxKZJodNzx
LlMDAQe9fbAkXmEwz/Mrwc7D2OSIUoHBmHagr6nP1KekJiSYvoj0RXnZPaZiugzC+llXNpbDepTX
RkmtYSjVzk9J7I45glSJ0CTZea9FHPqMU71okw0s1nqXaUqH31Ad+ba7kJqoh2rmN7jwkqw7vPmr
yZpuBmC6Q6VCHKIkQuLqpuA3z/SM2it5piB0k5duvSXMizEP6Gdkd9fPfCkiH58aeOs1lTPP9Cyv
fRtZph8d5+Qg5lwGXo3Q4IpsZfNrU/wt4m9TtUFq22lG++Cq+r7tc3Hq52lee6La4BAwt2U3Efxi
U84Jz+Fxy/JH2TZtRHEHwOaRFg2tyYk0IgWtBNM23P9rByjFbdaD1r6qFJVncxPZjZ2Hd3HYGKWe
bPQ4ySX4Hx77bkjcC4t8/uKbCHsZdwHW67d+JtaajJxfOrdk3IA5ETvsfOkdNT0xhps/cFsm33mF
3NlfZKntaKX/YZmd2CYNc8Y+d+rQJzo9sJjiacAEprmHoXiGYrgmwgpCByaE3zsPvccYsZt2OXTC
7WDtya18WwLtI5+1demIu6muNha2/IF8LRwBuZzJcL9olr4vtRZHw0ISWab3kMfiVRI737QUba9n
FMulSZgqtOzIxADYk42ZX23hLDz61g8LFH4hyBkW1n1QDXNUSuvs9eMXdkN2UUn6pc2PwiuLHR6g
+8yWZ2kaW31CmqJDqtgNHY9+cf1c0kLct6V+hg4wbfRksFca0ciXIn5T2XQyO+pc7iV53WR0NmWz
GDcIUwDL0DmLLRwh4skkp98XNcMoypxqPcCEbWRxsdV0FvFnYz2IBZtivqDJtdbrTI2L82qiy6Hp
TbiD/CG7iEkLrz5ADYNCRIKIbD9BK69fXhE9wIjpO8NAAmH4dvDInxAa5TJgyIchJnRCz/ybppc9
RS6ApVxO6Aj1lDD498CSYaO77/NEmJnJ+tptcWOTePZQVuQxcx5V4kWkRDYdeyxG43WV0NlSGwff
Re0RKEBKz3aJPocapz2ShcgIpr1PuPbMAfCHkcw8huKXKSZG7sT+CpNLyVW6XjUabLOqw7J5o1Cl
QRz5VDO77DyzM205gK9cbI22B9l+tQDejkCaja9pcldq7zVpNSzbaCTJ9/UFcwf6lSu51Vr9FR7P
tUQqR66fL2PyMBElUZ6zh7+CC16E4OSG4CXn+Zli/Q4g7ntu6w5sm3hNsfEeIAgvdfdQs1zE82NG
dromqjny2WdTdx4Geyv16wIdbKvpx2QU7ypIoyV+vdpR+mEzzv7PjFuOhgCa93hrlzR0Z33rev0h
n7pNiqWZWJ35kE4/zfKj8F/nAnsinBG/PGICXhs9Ger8TQl8aSCrxLZBhdapm0dXuKjC2SjFtcEw
LnagbfIBfoVTqWOZfDc1O4tRnlvSqXWib/0eMNaM7TmVdqRDNkplEDLNJT+RXQ3bL56bb7jo8snZ
yYEZZGpae0yce224LQxU5Nztd21p7wT5G+m4t0714FsfRW/BjkvXQ23e4xFmsGBr294cMEi2+Y0S
+THm3rbKKmttuLQPYFTC4u+spNbfucv4WdrJV22wE+JLvS2wE/Dt3TqlflpY9SRRjsJfGE7AAD1g
InhpwEq48kUOl4pJSDw+G5bYNMn3xDxB5sz+X6rxZuww4pXP9Tzx4SpCgUt5C4ZOP4x2tdem+xxY
Hn+fu8VfCVyKbJEYTnpbIwon0WC9iqXbi2Z8LMz3AotdNnj3g7K3GYVX7pRGRnxMnDdb+LuqAYzS
Bd5T79Q0qI3FiQjgVsjiWHc3cdDXj5iq0Zy0ncxgidUTN8Ug8mJAWfHRtAj7TxrJrnmTOcl6oX4l
N002fj/sqluZeuGVFpCX96P9CJ6VwbBZnl1BzOW9NwGVkzTYXzE1HlSenCTYoB+Y8xjtibsU5tey
OS86Hx0CZXrI/b0ShGAhYHFCBgACsd4X66p6Lpabwi03jv6usY1npwaTeeLtMs4Q6fRoD9l5FORY
ZjaRmGfngHVtJXJau6WMCh6Z69WQzPBOLF+xNUVBNt2BcMFY9fK/2TuT5raVNMr+l96jAkiMuegN
SXAQKVKTJcsbhGRLmGckpl/fB67qDlt22fF6272pV1F+LpDElHm/e8/1rAkPH9CxrL1GYy6HRXqe
zwbsnGIwt0R4b4QUWGXNXULSzorPTX1tp0yxynRcJxZLJdS1GPwEzQ4Ht7YvhJhl8MQrAKhc4ev1
0S6Odnbt6I+tRu4PuWhrxgaml7exeDRbBl9+LHgHVu5dnfOvGuV1ECOJiGyf9YTlZ2I5ufbYGInf
xQw7vs/TLeF7826qzH1JoNzLFAOecyO4bsNdLYdnM7md281EohGJhTRHdSqKnQcCCYm4w5cakalz
BaHZGUOm8QoP7j5ywes1+Y1kCcGwYrEV2ytDukdwgfUmzPMFH5jTSkK/XCTdp2kaTL+c1R7mJuvE
gUL1+SAIbjMt2ND4too4iXp0rkaCsEmuu34k4vShjzzBJkG57NdZCEUHLG7GCg90frCmlg1adqoM
RNtMnVogPvtCqy5dFLwMTvnF1NjgduoJ6mr9lPRZcSWFZFlopNX1JJvndPw86zPew7b9WmbxqQEM
ZqoUtYdic1X5XoT31tvmGowa2mIQyeU07RpX4ynsrKrpEuh8ZfB1Rc1OmJ74uow/4RYBWra3LEUM
oN2NS6xjYmq7SL4PMBzXNUwXP0/oe1GM1arTVLPgL/xcPk7GY52cTVqAWaKvZq32S65PeCrbQJxy
s78x2q+DqR3isjkI70V28V2CCivim0CnaNptfHeeWMvU2wYlOS0PUXaYlE+UC1xRYd+jcpMANll/
dzNAIUE5n44I1dbd/Zwl0Rp6H8SxYZPJZ6+vTpVjbmS1VNIFJFNqj0dJfkiy+VqfzG9F+Aryp9so
dEpJMAJfqQtO0S3O6AXgXZYipNTqT73Oh2z1GOumvc/tNr2Aq0ufnTlwtukkCP/wvEqYk/hztPNQ
JKT2zD6b24mAaNTSFzjj1k/nrZmZt2EeEYhw4regJQiTiWtJH9sV2C2/S8N93VKWLkdWKZ5WbZKE
K7k2UKeRQ6EKufve1SSDZQg8VaO9lpo8FzNzXE23ztD4vKMXd/1DP1svREkw8svxzkAdGmXzrrr6
MBFYImkVdoy9UPwl8uS66ZiJjOMt0Wf9pbOhMLaz8q4ctiguEMvafpkYta+kZYxIRUgs4QKqc+V0
3Sqz9jHJOpsiCEc0wai+1WxAmIrdh4JyJxfcHUpkRV0e6caQfP8+yQ3zNje2gaRn0o0vQ4SNeNKG
YZXH5ouMYPNPC1HPZPxxqXkeUXs0ER4WFmN0qkuDJzaGkktIzseEKOvOG6R2lX/H9DkTXC8X6X1j
5c2+csencORs1IM1wmZ7GgYPV639Ik2MwQ6wAKi2j6E+swUT2xY+YCrmi9PXBybEW/K926aNDpXQ
T53UzxQzEUsFLUiP53iVzNTUKBmdgKDDHp/BEELo7W5cZwIjFALAzRZUYbFAC/XKxQHTJ1n2JFRl
Jb5AJdm1LWCyjS4SV7FNMolNELV5iFNVgQttI8TLNOK4m2RKdoOT+W1ldleaaTs+UxzzqCy+U8vU
AY22W3iKgRfb2yCAxUuo+86mx/WuNBiQSgy2lyoUC0Ml6fzUicUnt62uU4K2PlvNkm5PWJJGxd6m
JyS1yUukijnSu/sa1cVH0TdusCuDj4Ul0O3N7+RI9Z0iCctuuq1JNIP6MnRjWwn2xouVc5Wbxn0K
fFJ5C4ayCKjjW2dhaT7D7qrfSQAYq1CAuKwGlKYsrZv3OdZh04WzeuMe7HmRmOoylw1NNmmDupIn
DIMrrb7O+Xs4GSbQmO53SibTGKtfMaAAxOshV8DVXWUk0W4ax33sF9SmVQX7BPPGFi+6+czIncF0
WamLErPmWzrtJy19LdRy6tnWnmP5OcQ2jirRDV8I/r9F3zGfhTPYJ+LJ5ksTMvQmO5S+VdS0AiGr
WdnrBp6TQdsTt8iLlaTn8sp2InXCWl/sB90qTo6G6EQsjXPR8WwkVFDUzVvXG9XFlhE7R8aRvG/h
k1a8mtB6tN5iXTfoh0hjXbbAV84Afe3P9HPVFLgulFN6TuHiWbrW7wDAbJE9BtuPk3LaRAsZtYo0
dN8gqluXvLrXsA8mmvzWLERV1QXVHWTUlgEKvNV4mL90AQlp6KvZm0zKuNm0iEWMYvsKSmseF8lt
q0IqvheIq8EAiZNM3tfsvZSFQS7Wsh7Es1Eocan1QDx37GsOVWrn12KY6x1ZX3HO2T+wwqlYUZWT
a4mNmRjwF1KafhHAA+aflM843NdGeUoSgoL2ENEBWY/xEnGCOyshJ2yDBUZb6NekSgkmKPDb3yq7
z30m2gBrHdwtF70s5GvWaMYumQl29wvZNnBtfauzPrhCoWYRxbv00vba+ORCyViLRjg3rTG1W4e8
BWIl8Zdj05jy7KUgc/uqwwljsqUwJeG11VgPNdsJp3/NhtBudrFGI08SkHxszKbQr5rWs06TCI07
owuB1mLGLenPY5zLBmzaEDcvPVwXHYM+s2uvsYRYDaLwFN4oBGBfWUZ/A0iM79d5GlNpwx22BDyj
a9tgGhyaKWwkB1gecn+3S83QDtdapT9530HDdR6PeyvPvC992oX9Wv9OJuYtpt2JJUhIv+03yPoj
MsMUfMsbS6zygqETfk/Dj7FTFUgUgTzLENUE/ixc6MT1OC2xfTBa+2YMoMxtGGLGflBRlgoegvx4
VdLbA5DRvEHgkbDznCozzk6aKhgTS9zAQe2HQKopX9O8BB6TIcoT2gb6d2L3GzqSNp4oaR+dEu/W
rYDLjMGQHPUm6f1ywDIUuo6798qmu4OnGN8SSn+HRZCfExaSmD6G4D2ummlYBXXoXZMDuiFRNe2o
S10bRaNvlUskTgUzKnEF8TDugewMqWtdJYP9NJRFfbG6YrwRopt5XAvT52sJfusg2CMidcc6Dchu
8ijc2pI9lKiK6dOg95wErom7kNTGbmoq/u4YcxVZjX6wrHJ6cJSD6jLmBqhzTDQx+sSt3gh1i1JF
12pPd++w8vReOkRakoayWs2ywXPCsImYJATegGM7y4cjiJHuCsoMlV51SEWwZ3hvVgwQLLG9bltW
TH25hxiq1BaXh8Ey/1syRNM1gtxrqZiYt161k3PPJLlLkWOycS5w2kq2T0nL8r5Lc+sQNam+d0bB
JTyYu0ninGklWWoXLGTrufW6JIFes8++rQpLXTO0tLZGTbjLnNrJ17qMeyxpig14FeeOCKlzLbxB
geGwybGVdfpIjBbFqaJAhYr4YVRnkylJvQpiHfwZf3QzdmO8pf2M6loR3U15Y14mzq1asTgxfcZJ
7j6Lxsc48bJbEPXq1Ftu8FRqk47iln42UBfWuUat3Ux2d9+UOelQa9gafVNRe9vNgGjVZyl0z6+G
RRwtp0w9QnyN3FVZhw7GWgdcA8J0V+2berTh1KfimvIGJv9hqW9Z/jBHyphKeBaDypkB6cW1DWxZ
OSoQk+TjmA7mua2BuTTp/AWhB32mHMbXgNgpyNIR78UA83x0BGCxqpl7kgeKEAJ3o/CrkWrXWoNv
lTf5koIlY+QTGyw2LBg6XhosRIq0rbaT6qkP1pxs1VGqi/jyRYSpYfHAdjANSfYgm7CU6YtRcOog
D3dXJlwsqB/x4r+oR5JiUF047XUevBWh4Z0mZL8ab81mNjWcPEm20WXprnV90K+4QMmjisF9zVOJ
OZOh5AUTB7SuqnF32Rw5THkMoUEKjPjeZboPyEiiwJB8OpCAYgg0mvRpzhNwPK429uVxW2d4nYL4
rsPYyBLTA/uYLJSKjvUHqfXBe8qypt3XOOtIKcTgi3iPGW6/aVsROStkwfEiUtUhGeFiO7t6hrY+
FOMhEUGC5VOpeW25bfJUsUfA81UTG6uMcHwfCK9drGymmtzp2ZKlEbGpYJDjFf5XJjoR/39QLggJ
Gic4LPVNak3Bazu6/HRAEPTLlGn1t6kr53cacMorOesTAKZQY1Jg9ssEdgy/4MCwLxpP8q1AgLoS
fR9T/yHt6FabCoA+odEdB4VMDq/K2EN4bZ+7cA43obRZTZtZdSdVHV+jYZU+LDBW0dH4nLF/4E6k
bhiFA5PHAwHR+T1LQX9IKnG3ZTZLQIiCNojWdvW10nH+zSU86mlCsqBoAndsFk3zpplrfKwE4JrL
GMr9mKQU3PBKOgDHM64EUQKsSGMBdY7we5xM02UssfM0MXl45pPb0TWT58ijMm5ts209Kk2VsOwc
oJvR/KUOxuqh7ST2rKRk5OqO3aPeclFRUKo3CHSde3Q8pkrJcAuV7jMKPGYEfWrOWZ2Yu64Q6jLq
AfPpOHXlpwYW5h540LCDQ1b7WqnaW1NbXgxjD+2hcsFR9ZTX42XzCuxL8+Sd4e9HG+4Z7RSRWHpt
Qn7MyBQh788Q5GpQIOOBITRWQTgPtEJAdjV7B65NWDlJsR6JIPupnRhPPExeFVPFA2NhubKQFnzS
NNMWwFJyHUwJ90gQJtwLgz0PL46c5K0XXmdApFR0lDYVGFF+5YQwePLC5O0UnOp03qFnr1ynYwnQ
BPPWNZa3+awd6xCd0lIFA5ejDTtHkMDWQRBbQ360irjbwM212U4G88hN75nk/zqNXl4WKPZXZhIW
zKs82OFVzGKGJa79VdZa8KjyItpnCBlMzxnRA2ZudI2FfeJs3Ip8yCaDVkeCsW7Wwot2udHswzR+
1JH/6B+ZjfDGM69cq9k3AfJ61QxLITb4NmjQaDRhs6l065jO4MGVHcKRmE+Bpx61kj8xI45G2re3
p7fvpvd/ZP//fzGoJ8jR/PdwwArwC83IP4YDlr/w73CAQ3zH9BzwHUAtvtv8/50NEP+yLYviZyot
Keewsfr/n2yAbfyLmJxD3mcp9fMcl2zMf6J5SxpIkmZbYiFLhocewH8Qzfs52kKlI9EDuq6lLTzb
IWuwBAd+SAPpVjJmde6QUIbvAGmzYDOqnlRmHQMgPVsxt/8Oev7Xhp3lZ/gpivD9iOSOsHMTcLA+
RhHiMiyHxLNs3ofik2WkmDHRlbXkgTHrvZCs0SpV8WIwn+BifdXN5i6Jq9cph6jRaOa2UXQ/sEZO
O0wXdfu5NCd26thafav1zj+cw98klDg9Hz6sQf2Q8HD7OrbNSbSXn++Hn0dNjFYRewXv1AGRLweF
1Tp1io8E78GKc1qw6oySfed14qFh53mbxumuici4J/P8iTYACJNhwSzQDGL4WQ3Pu5HREMV5UN3N
6NmO8dviiJrWrVmbX5hM3BKOYOA0Y+5WeLdm7xLCIPLr1ASkNFrYt1zY1CrsPxVINRBzcvY2QbwX
8IhhH4TT6yi688gKjX3PYmPVDJ4HBlR9gSYXtoj+gkfWWjVmDa2CUXYjxvA0VNC/ddbN68Ytv+Sz
R1ffvLBJ2ojyhcJpvU3Eg/m27nrtNgxCZ7vQ7rayQBxWy+a5nl2LILbuS607u3iCtkHOwgkD9mS+
BalGySLug60KtXHTURy1spWGqV9bfOHxfes1uErz4inqLHlwPffzbFX3Ng7zknf2GgIzQyNW3jvs
UenOBYZ30j1J3dIQPBpj2ONQ5zFbwz9d6ZIHIB2ozF6auNqC4GsxrGlXsq8/hVOu3819Nfj53Be+
QdsTskwmXqWlkl0wmTvOnwS9VqpLqNewGPvChktvHfIo+QYUJ7/JZBCfIK4oY1MgqO1iNv8roCHp
juHWDjOACYESAu/BlghEK00G1tGbMhfD6hzd1wLXeRm0zbpm8tCx7yDmH+ACR7/iDrQ+xWnOdCWV
BzmLF3zn+cZYoDETuuJ6hqfmG5l5g2TS+KqbCxoAkLfjqCnPtsbkqE9L1N9q2RHB5NhEkMKus4lC
hsIL3hMnCr8hz720U5cx1svyZL0AXPaVk5e3MyEEeDe0U+CvYvvo0RNbY5xah4aVAJOPQoAt7tfC
neMX4WmPA9z9i8lU6zRHkHpFpZnHCI+nO5fZ59pp9ft0QuuMdBedJrRh8lRmaF03ioUuoXZ2AXYS
DevCrRhnBdUZPG/1pR55rbLzBublhYtPzk0P2kIC0iaDaE2DgaOpHHCyhvnQxW7Cj2PnhxxQxrqq
y+QcBBhq00zary7ZDIznEyxZNTZba6QPxIbZ4doFj5tcSlSzJPxUwyjCTZlwg4bZFiwZGZVgD7UM
tdcB7toYXbsJiCv7OEn2TZMv+OMhuMssPKa2quydKKzyrMFvf54WVJJaoEnZtNi2mohM4tRHwU4s
ZCX2oFDL1LFZgEu5PQ3X6KuWYiQF7Ve4wa4D6cJaVlOvGatYhzr0dZURfOmiks3EdB0PYEPQ0C2z
tU6yGNxdW3rKt9NlGEHgobvt88BcM77Ymg2gS93ByToMbl2vSJW2fhtbMeH9sf7Wj0jaYWM5z0HQ
Puaw8vZTVGA4h2XKGrbCDRYOxH2sQr3MIq/gW3rW3m2cp8QUySe2bO1tayoY+60RXvMIglMGagWA
hVf4rUFrSdFJ+vBKlHpiZ96XSSsYBnKt3lZ1xYggLrIbAZwKGhUBysCxJyTaFEdeXBhrEVQvqHzt
rkzK7h0tzVjFkxteFl4fE3sXUL/oys9QQb5M+chvqbq7boKfGbW2dczt3iX6oV+6cHjQhPU02vqj
zcDZYatehbQt1dE+tdCe1iLpDTxb+nhlZ8I4EC2BeMED8s0YC1y/3MD7ygiwl7BcQyQAnCIxXCSh
cUBS5UrsVXx0mRpNGxdvxd50K+7rNu8tNgK1udeBse5qaBqCUUga22x7awDQtU2XgDnW1aasK/Xs
dhSJbbNAWTgLI9zENCl0+kM5UVBhE8d4tyqV7+cOcUQnikOzdGjsgDlgcIuzb6KbxCYG4n20qqHc
j9JKkb7cwH21jbDcmhrANQCRkaDKA+0oBz54hXhmrOGrd5ugDImGm0l1SxdQyu4sm/Yh8NRDyLaZ
JiIlvs5xXI++7angoXUVLbUq6sEnTdVwDuoxuurmtrgNE2X4XNYHw5MUsbJVNle63UxbTS/npahI
EFgF9YapxbU3lH5ofhfZ8qZsAha/bZ5dKRibGM5sLL0YMEyJm7iPRHKdkpx6h6fV3zRoKnJrFKzA
uWu2utLYxEOrxPxrMV/B3KeY8pDqkicVRO8Dgthj2bSShmtpvXS9Wx6FstiB18ipR0HJZnWulFPt
WJCjz5UGsYg57/NLlQTWqzbht6Ufe96PVn8v6iK4iiZXMe02Lb9CAfIrqd6iPMzO7ZiXvuMOEG2y
4YpcD9RlBJablvnJtrXzp4atOcpDiZ1Xk2W0n+ICWlvGzKQYPTDHOoTUqegdHhPTUODakvptqQkm
B6OGsyz1vAVhWS/nUBuf7RKd3NbntcrkVub1JWrn+JwO+OIA+p483kBEIgdyGqONLp4BW09UkqSb
rMmGe3Zt1VbrYvxiXj+350Cmd10OmowbIjhpnTSfTNYdRBEKqDRebe0nxQCuTxuiUN2Au6EDa844
2PVOdWYah9QygnflEmzxeGMctRZPpmGBpixF8h7DTziQBC2PtZHJx7jlIuWRDYE3Iho31c0VPXD9
eMf2FGu+F+qIbaAq9lM3Qqqjqj1bZwWd4/McJRuMseM1lDSiYc472jtM8qic5ZZ6xpvJbovF2tO6
jF7D6yYy8HJlMOtaB+OXlifkVr+LopVNQE937PPQ2AztFWwXmNvBvp5xe9NBGhyjMWhOYT8mT6EW
z9uW/OM65fV3bPqxw+4h1bj16ia5wrBQETqJg+OQOu2bNi6CK8yspUejHK6HcHJ2ph01dxbGv26g
uqEowvuhNYpDj0C3BtVHOwCopnVJVBDd3dY3Jtry3uPx46uwqzduUibH0tDMC6EEZ+11pnWyHByP
hZy63Wy7N4x1GPOMJR4BL32zrTrY2hpyohsVTMwxhKilpDLscJ5CqeQGNKZyAxFvWg99Xez7JDbO
xpjh+rHjU2QxSSwoCRuYuJI8YvJt9eJbAb/jqsV36Ni5+VihI9yG/bwogiXSZPOtCTucQDiSg36A
R6unLN+j5NZlmgIcu1e3jKRaXmyz5515kyaPveLl2ZphydOxro8dcKdEH8JTIRPnLTAZlbVjIx7j
OJRPXscs204muSZPituvSgrnJoL3dDMQ+gAFFGJDmR1XksgYFDpdnFRHWyIsAKX67DawuFpBvMtE
iUI1zpqzMYUsCLUs4dldgijLH6yWBKMwgIFSBmjvgP1cCW2K7xl6XNcZOE5bNH4HZPFkYthMWnQw
0kPZITGwNZWNQ+ZZp+yicrEuYRLL3Vj6tsubrI+S96pRM9Ks+S1VzksedA9TWd3O7MWusdt8ZVj+
QhYieihBp66MUDBiyR8qFtkYiKPPmTV2DlI6iQQJ1Ax5Ll5LLWM1CQn2dWjbcJvW/XBIKNVbY36s
gMPaag9EGcPdNOWbMqGdzK3H6jLnM0CzwtuGUZeAvQeHrYeM9WLrhjO5KKENtDC9ukOoxzMLH/Ji
qapaWWXwTXPieFW1C8GN5ebkYStNJyDw+ACSdc0LDKscJmp0ezy+RVs9UGQc0coSaDsbXwyYu5Ud
1v0Bx0R+DZEsP4Q0udGmRwumSZ6OxagnAJxm1grN19oOXY/ffu724TKESSpggYhw9t0wVt/w4uFL
nzoqvEyKBSlBXY02GavBMTFZdvrZkGATCtiwiIPuF7fS2v3YxOPFAoqXDFm3DRNvPhYENXCIak10
mpjDQIhiw9U2FOhlGqE018C6wzOydCymJJp1qhozv4niDORihwOCDoXuCnFS4RdLs/KpazUdGtoM
g3j08FqXT3NWvOr1PGzMmg3OykQ4XRHE6l/DdFn7Mhi5F11ISSROLy7U0W7wUDWewnpRWmvYyWoz
Zd1iEqSsnRxaqPaqlnuJPwSKY0mmRVcMzfJkqLj02GLOQfceprrtg7vlcRyXTryeO4bxotemTdPq
z3X7PoQj5uYctCJ59fF5GHpJbYOQX5GPZnSukjEhK6SVbEknG+i22zEt811sW3dt7nRrVMjbBkIs
w517kFDhlVUuqvDMNrKb3PsYx/ReMNT6PEL23dVsycF0fuqkV6LUkdbNaipdliedKwm9RAmpNild
5ee55VF2JdnNrljqlyc4+wdvAhSaCODKUpTfWjXn92m4xOcLG65tmF6Qw5wNb5YZXxKl7zDXg1UT
88lqRVVJmzw7E+UOIbKhUV7YrIs7KiiX2X4xr2AM39klTg0PEuZzKVJ2yRQbM61KyX12TPmtZNlq
jvbia2NA38zsl/h8/VYflp/J44at8LlsRNzl3Hh8Ab8Jk6sqT/MtF5Dv0HyxkyNLYH08DYI2qJZ9
+NoN7uSUptdDsVR8SYwXjnA+lW62t8KOkx448yme2bnOusTrzXNx7jXr3iwj7ZE1N8MX05kO5NSD
ry6RgLWDL+sKBtRmrtL2qUnVlZtiRKsg9a9dSYNFyf58o9lDdZU4aP1ry6z0Ty2zuB3DU+16Rt84
MBRvt25T2quMvezbbE7V19lskm2TEBr8/xIiRWbd9DBVb//zf3wtVdE1090bhXw/Mbtc1KP/LiFu
2fO8FN9+lBCXv/BvCdFED0QFhCDCAPS7kPi/ASNC/5dtQ4kBDoQ4Lr+37v6H7+Xq/4Krg0BoCQP9
0V0gMv8REW1oQxSPS89D1TIFnJF/IiL+DKtBRCQEaULHASWG1URaH7qfTcAakSQp6ztjrDAzZ95w
1RE0/8TV1x1++FF+p8l9UOR04UJQFgskaQGTGZDOflTkcIcS8eri2IegBCpa5S0KGyG4DdNqt1vb
GqCMeUakwPybpdf/Fwd3HMfmZzYgCf6iltIawdgu8mEZx0fo+xWk1NrcWH1QbpqcQ3dewNxhIDD3
5yMbCwzpR4LL9+/tuQKLxgKY+ahEmtgmaupoKIRcQutsKnHogArYJdQZnxksugTxRqs4Mu+JdlOO
FzYk3HgQZerA/hjgTvzlA/2i4y4nQqLe6IKfg0/284lAVdRTI/QiKmaC/pTxHriaE5tyXsih22Cu
y/dcCmJwnq5azBdpuiWux5RGd4zTXz7KR7oNv40L2gYVXXD5CePD9TcHBhbMsoz9btKS66Qo6KmI
8XQfHD3CLKm0KL/RhtaLtppVl88yU/N7Z8ahs1JNyMLRZQZ2ciJDhywtU6/420/1UUVePp9Hj72B
or/cccuf/6Aij9I02smhnLL2hvjO0vvRZzU2rZ3Gs31A6O0ua6fmyOK02La1RhA4LNu/aNnGb86X
Kw1MWRY1FsvD4ucP4S1o1SDwEj+ymvFSx5W1MecmO8eq1Q4MWV3SBSGQ0Cls0lMK7RoMglP0L66T
eZs/n7BfnxdMMk2ALo6pc+VYH+BWDEToNWjD1MciLr6R/ku3Y+J2O0C0wV/GDcup/3Db/Hio73TA
H376KoiCsLbj1Bc6sZDVRKKQcs8g+GKzPL5RNIj9hWr2m2tx+XV5VDtMViBC/fwzx5TWalnVJr4Z
SX0R9YujZRXmX56Cy9zhw9fiRrF02GmERukc//kohZ0LTWft69dDFWy61Kx46NlscjPcqziqX9zU
cv9y1ozfnDYOiksEWBtXsvnhCkroQIjHcKTiCW/MVuXpdJO0PAzzTOu+WLXCpFONFNpZulwrb66Y
haIHroZUd2/SvBQ7o0voZQHeZH+a+5ECr396WfEAAM+me8zSmLR9+FF4TmWkb0vGQaRgdkVdYT3O
4mFHkU3wl0P9elkxvIIghBrBP3TnwxOn5EE3NIwzOMt2jw2M7VHAB3sI66zfzC5i5T//ahYxSpPp
Gd/RXk7ND5dxPpa4vx1JVsHqom1BOBC/tg6vowKq/s8PZaNi8d140bJw+PlQim6JiRly5ns9PSIW
G3YsgxENoQM+yT8f6gMBcFk4eDovD9NjgcKMzVsu8x++Vmq1Li2sNXcnvTj2Orc0+hTBYZJZyQJv
zdYGG7RHqcPZKCFhgsmqKDeg15FiOfle54Z6gqwgb2qEs89Ziwmk1DrsEFauzKs/f9Zf7ziufaa0
EESZu/Lw+vmjugOMPiaBKcYHo2SD6hBiUYwMeLyZG93p9C3+ieEvP9DvD8oPZOIS4tR/eFDOaR4Y
ZYHNJW5LkCdmnnq34A+9faPNxXs1udE5NU3t9c9f9df7fPmq/+eo3of7vPbEbOi6Sn3s1daR0Mkt
5l5nryHk/+U2+vVhyZGEzbMEkAxf8sO15mEcNQL+g1KNxOIlKK1ruhy845+/z28eXD8f5sPPODDQ
aAxgAn4aYH+KFgkxpKR1b4T64hBMFJ57LGM0mintqbIDe6ZVYMQe5SJjXOlRisl+LIi7UbRysofJ
vfnzB/zd08SxGHpxxwGa1JdX9w+3Qe/GHmMi2vp6Frd7U42hX1GZe68iWWKhF8H+z8dbOIUfXh/8
ILZjw8tc7AUfyZulXnXOXDBRo8vUfe10qb9NvcvWEIkTbt/QyuHzkkQG822DI+osNR6oPrAm9qvp
DO5cBPoLBjM6c5yYaOlf3jS/+z0kD4Xl3sEnYH24LIZQcqlF2Itt1Q33dOto2soua+2Rh216LOBf
/uPXqccy1nUEj1bwrB/X9aQaTXdwR0rLQiMh0o/Es4spZ3rqXP4bTXFjQzqykLd/Pg/LdffzW9wz
DN0UhrXYIZiN/Hze08gwcHV2uZ9y0UEOmgK/HkW51RtvkStibzULirCNBT1ahq7xl8vgN/c5h2cv
8f2xZn1cRIh6qvM2L3NfeEW0oT6cbHVFEj0zoYj/+Zv+7lAC9jTKj2lzwX14X9ol62LM/byaoU1t
WoaFx6TDIp9XAxivPx/rNw9Nw7QWh4EpLJrHlov/h7vJVbQj0JCZ+TJABsFY5zERxug8s3PYGBQU
7RTZ9H/+BSHE8ooG3WvxJv5w0N5s56Cv4tCP4NHdtQHzOfz90xHcW7P98/dbrv4PV41jAEGxpQu1
27E+PC1Szw6NAUudH6jEPIwGameQoRbaUdSh65I+i2lMO8xR+v7PD2wvB2TdQxrR/vVyHQIe5dpG
OOH4mVLB9jO1xtHOZBG0anFV+onnpZ+W1e/ftlC/eSKwUtBdQjQsvLAN/XxOM8tqrHKpzdIsGV2y
OnzH9uZs8edgpF568v78TX93OI6GqMHTgKX8h5+YbTZ7lMBACKbRjJaWyX1CHq0e66jIgL0F4i+/
7G+Phw1MJ8TBa+DjLqV2iM0LbdA21di11IlR5dbiecS2Mke+nnd/2Qv+egVJziNceA62nM/l4/xw
hySuHfaR6uEmBrid2f12wDtbypwyXe20qLlJI/2+iOz6Lz/rApT/cOlyYIzZrsS6RlOU+fOBY1pV
RiXJ5BLcpE3MyXJ1ScfKGXduMsrb0hwx6ZLL8OCHeBrW3bTVpvRYuc54YBbW4JJieH4U+ggWEmRp
8w23BmHlwUzko5uY8qLCmTGra1vEPqawg5oQ1QVxyzG19ZtpkC2TTiMrYNyEpv7FoJLZw4kzeb5R
yfA/gPT/6nX7zcIDA5+jmzxi4f9SsfHz920sZQMyIjRcdzqjzAV1Cl2aoME4wsTxjGBNYVMPW0+H
BzglJv8bhQ1aSRhOZLTbUFUNzUYzHIbYWvOXR9ZvFAE+G9e4LXj18MT88OkEsZN4kFHsU2wIQtee
Bfk1RZ+4MOy9bqDr012A+J1Jay2GQe0mBWsBUoL8i6z269uBLhgLTLLrmJJquw8Lztw0KHKNyX07
xuBC/8yLNTbv8JD3lfWXd97vTolDXRpbZhacePo+3NotHXed0RuhT++QBj1qwhDRm5WL5zm2AaKJ
LvkE6INWm7oO+6+aFpndahgHEFfOTEaz7up1NudkEuhO2MJjLeN//P5C4EVN/V+cncmO3EazhZ+I
AIfktK1iDd2SLNmWB3lDSP5lzlNy5tPfL3U3TTZRRGthwYAARWUyMzKGE+e4whE26ezmkgxLncd1
F8UXZmtRq28gBhoQpX1f27V3MbUoBm0mj2KB14+mqiqzK0TjoECtjdGo9Qad7nd06Sc1VE1fHJCM
7jMRIpcy+5u+I2VVxmgOvrzy2+u3bG1249cdTR8n+KRxcumYwm9gSUpy5Xx97M73FmchdYGgGC/m
KzL1SJhVXLe4naSynCd7QQOyz1CI8cIYleq0tC/TxJjZY6OGOrXbtVm+ZfquS4bD7M368psQOudG
JeKLUeYgt8sI2j0Q4oFja8tv/pCQO6rQPiuB12UVXB5UNNyj466+2+sfQXneAi+sW/rmR/h1SOKi
fkSVFNZHJljR14logjs5cDE+7fCXK8f4GcxA8QSmvHiqcii4x4yRPccyzQ/IHkFy/XhnXoe9Po+O
DvE/uR/s6JsraDhkmNKlcEQgDvfzJMt3mk+fFyU391SndfcezbHiBkjFu/SUZYPH5ndK6diHfhWf
xyNI7Xr9YXqFF9VC7APlba8DCfYVPKD93pfgERcY/xCYHicgOkaefmsRTvlQLq0rmT2MBQWG2jp4
jvfcn+BR5AchC0FFff17DL9rhkZKoDXMBt2NoR+vU+T96UX2kWvZ3XkfbIGqTILg2pwGMrwCdYWJ
i5BlNprYQnwZqKTdan+GFq3TshC05GjdjdKIfwmHyfzyeOt33n+6RD7sTT4LNn9gw18EHhCU1E6c
E3jkgurf3IQQ05X950mO/d2t4/TJdJL0PEoZfX1seM/P2KZO78QFhkTKs95iqGaQDVvYYgAO4w1Z
8FwRIoqDk6W2b3vZ6MV5+G66dHCQrK04Fe0qz2jjS1+X+iXREYUEkigDJrqiz8yoFgeFjT2/Zqub
RCHdMHjL1/a0pTUSJA6J4xITHeFFgtmjqayD/Wp87Q9iG0bhizSXBxd4zy6sjo7l6LZN+Xmzm0jd
LXoaa8nFqGYgz6b7LWYU8KMzJv8BOER10LH+e/z99g4Oj5PwyB5ZrLNJPWLNRaaZkP8ihZ4EzHp3
xKjg8YKBbtBfhpMMNLly/1NbwNd1sNq968mMBMsVtpJE2jyNieuVjENlycVLYb+EFomOeiVhCHR9
ceAJ9g7QS1Ob57As86kY+iK5aF4xnDwHOMpgAfBiwL27tobrHBzY3Q9JKuMz5eDSXt5+SI+P6BsN
M8U5cbAEoPWhhjjgDEa4OycZurXFzPzX42+5t5+YUh6IfI5C4/rUirZtx9BkkYuI6GRKprgjy7Ou
5Ojjwafbu/a4VXyqhayOt501yRDl9QmbaAxSYruaEZ3JuY7Sy+MF/ejpbO+966nasItzow6wXlHG
NH0n2MILQGiJcIUMr3SuaaBBQF/fcy+CziSVX5AOqX9zRWVc/abu/uuapb+ZbQMJDCinwBogIM00
g/6UiRKysIrx4pp2feCC9z45fUA69a6JOpG9Oc3uUmRZx7zfZfFgV9GaEn5ZaVsXqSdQi9bVchOF
Y/1+sEM7sRDQAJMZKCpe3KNNhD9PzDJnElaJwvTL96bZ/2V1yfLnHGrLGWg/7Ft9k9+lEcPbCuPU
4JjjQZN4Z920qgENCAvIA43Q9TfSINmNupL+uZnAMib0SVESyeTuW5rSJXGTm87I5sFm76VYFGmQ
PKP1azK6rn7ViwevtSo7iiXZRj148hbXtMGCwYXOivJrR3dqyK6LAd2R0XXDL5qhVCyXJkmv8GyG
1sFl2Ll3/Bab2TFh4cu2mU8vzGIqIoH0uBNB5Yvv/ugOEbNG1jwctKvUgd9cCHpUghKzT5hhbuv6
UQT0NgeUfTE6xqPRK+3iL1bhMI/f0GO5lVGcfQe9197iyFf8kqWUT49P3N7npgTIhyPEE0JsPZuo
IzDEVXyh9STelX1lPTH/DYVaZPzXaLZ1GuKhvz62ueO9qYqxbBJ903wF0TAm0uM0zujWGAyBWSm6
NuimMMivO/m9r7P4z8f2dh5FKIAQfzTVywhl8/pwuZMI69IusQd+4RJVEGc60PmewVb/29cCkecF
vc3HNncOEW8FF4iyGEG0vznQvq0h91nSSuExns+NGO1bbkENak129utjU6+2k4RF58Gnw227JmnU
enkwV1QLWTxoeg3eAjI0RuCZCL6XQoPoMdSbg6W9vqwcVR4mgwDRF8xCmmuDhp7DiJxnWhCLvn2i
FmFfQs3PoeTVs+b3JDNmpF1h8Y+cwbhmaHp+RuqluDRFkR/cn52l08g2dZ5HYSrdt/UvaUe7GfSO
KhWjSfVZ6C289/l1pFlVyeL6eJtfvZFq1abNQKlqBzEGuraVNnitSMdWoYeKWNUpZuc814qB5rGh
3UWBX/phyEIKcm0oguuCpKzTgjTTPIpzIJa10obh0Rigepud7PzY3utnmQyHo8oh9UFkUG5cG6x0
o4MHNwwD0cv6ZkuvDuQokw8g4+LvTUsHNzVTgfb5xFSFVnYfRTyJL4Ve29eoHcyry8zdqY4SKMIa
r/zSoMaMbrpWfR9AQR8c9ld3Wf1WAiLa4XSCzK2/8qOJucIa7u0QWjLQ51b8bRn0/ouRoZ8BA7eU
XypgvxcYhbSDfXp1pZVpGJ0ZAIZh2NQ3x94uAJCXHg0LvevmpyFtzM+t5ttXCcfawXu4c9ZAGxKR
mT5dIOpN6y8yLX7mjAImx2qco+c+T6czVfbkz8cffs8K3awfvTxXZQxrK0s4ViBuUo0JKUbgSRb6
dwDZj3rzO1ZoMtGAgZySC+SrN/DF054aaJ1RYIaIthDWu6YpfYDW9lEBZ8/Kj6oVWbvOy71ZS+KD
oPHcEQmrqINkE+6XqzeU8iDv2DkCpFbkxz7ZOcvZWNHgkaCG1ameVQI2P+6s62CjbSHr3jjwAq9M
UQ4Hv6i6HDaIhq38pFO7XkFNyAZjD0HGJKALzmK4+mRaRP8+Pgev7pRDjYn7pFNFtWiZbVY1Mi4I
K/+IKZkaz9IQ4UVmNpQMPABnZH3ij3NoIzYO+/9jwztrtG30mAl1FbJFbF4u2fVZlwKLDMbMSz7m
UPUFou5hm1xM7yDO2TEFrSByo2wrpcYt3Awq/MiLWsNH8noCMNMNFVrmZMbvegbx5svjde1sKP09
Gn9Ki83Ga6yP/OA4TQRpmB94Ewjoc5N60zsZguE5aW3rfkV2vP7LjrL03AtUSt7qphygIqRyHhEi
naNtTJmFFvOXRobwXuf9k4QULYuI0XcvBJ/y9mU69g9FZELIV7HjYsG3ioMCDDqZcAa13TQHFOni
30S/RN4ZEi/xLBgF/SuCL/jAQ+59TxghAIFQDCRZUX//wqsk9qCl/uD4Qc4o76mQLmx8Q2czwB8f
4fleuRY2FDAZwsw+gQb4m7WpEOCpVUJTHLSjbzxN+jI895rTHizo1auvWkzATi0qDAKuxI0VuF6i
sQDsERDol88O0xiQGlrlL6C1TGZNW+ftxwSFW5YG+yE48S0yzwZRIJFO8IIiQSXZhaX/QrcclsCq
tg/emb2lgbgHJUeX+DVSLhshZEISiNkKas3PXZUW95RmLfI8MF2ZgWCKKbk/Ppo/4O2rzIrtRKqH
5il1Io//X3+0vqQ4pkCCgdtRDjoNc4U8IgyDxgUiu+G3woAz8ZTmcA3NjeVJRAg171nzF1jgrExc
fAeSVWbzkz8e/66dY8vP8oEukRTQ7Ny42kGTVsv6PR72uPxH54kfgiga5tvsTcunN9sCA6D2nVqy
ic31FtiVCGek6n06doyrtBVUgWoY5hRbhXl9bGrH4SkoHDsJb5NnMiWxuo0yRuO36EIvkO1QXGEd
6E/4cAN6f73MULKSw59ev/za+kX1/bHlnQ3FMq+WiRNQvnZtuWd6tvZmFrmkHbzFQ9jckWExoc0a
mqMzpTZsc6Y8nXicT0fC7G1XmaWwsZgRIj5+AciyEa3xJFEevGWjMGCmaphmsobw1gjAmKabztfI
hzz87eslbVYYCLyStwW4posR0/Q0vGCegT0NC7IQeWkYgV0O4u/HpvY+KvAZ6nTkeWhKbT5qNPpj
NzMyH5jC1T4OyYw4Kt3nawgfRKCnCAItrVky/ZUhuPfY9N5XRYAXHiBDXZPtoIw0O4BmvvSCsKi/
F7DA3iILyzRaloNy164lIh/gwoAPFEnQ6uQ2wm/mqO88Ag8U/BaHRiPcIN+ccfQPvtxrLwgKAIJu
Yh16H/CHrS2NAPOgWku9IC0AEFYJ03r2KAXj15XzvpuH/MDe65VhD9Zw5WoIeLaotd6pshkiZga9
x/a7DD30KPrk49SI6fbWj0XmS7dBsIuUdMyNq63I9+wOStLAAAlz1yN8aglSA1KUo4dkb0m4Tzpi
XHadTsN6C8vZt6YxN9Dsyg3zxFm07xE6Lqoupv3EonizSPldwkV/23tNjRr+4pypSbhYSfYA8QNv
HIpz0vn9m19i2nwkSJx03mOKOOtVMZSl6qK1E1hhCvN/i1opml8tYAbTubz5UzFUQDZmEgzTDlNX
/kXUBEkxZecldwK7oZ9w6vvQuNdmWX3sZ3v89tjWznlXRTc6+mpZQNLWtnodtSZmhJygHty/gc6i
mxMZfbBo8AkRo9sH3vl1lAY6FKwf61KtS3tzNnLo8pvSGJ3Ad9vwkuqDUpHMk7cWnHD8fKr/R2Zx
szaL8klhZ0rQDuUHmpZFGyrMiWyfwhRufOCA9DIe76JKgdZvztrgZlmMxLR8RzW9yyD5yRAa1KA2
KqJat4hfktFKLi3UUgd7qW7s1igQCJfpHN5WRiPXnw7ey3CSPnvZl4XzwUdq8NKJOb97U6wYWOoS
kv3JfWIKCb6nch7/fLzmvZPDoCZ1D0IJqHw2Ppk0sG/SRCBgOy3IDRpIkleiK64FX/UO5tc4ANeo
j/ZquR7zOhQOyIKdrWeuIB1LrZkLqEv7C2T5UKlrzWg/e2iWHVX3do35DII6zEYw1bU5QQ0Jama1
LG4qc3o6zJk/IY8734FRpm9te3NYuRMuPTQmEBlwXX/GEq2iIl4aJxj1pGP6CJ06AoYWTTRP/sYD
nn7Km+onnjk1fqMeHt4dyqVrox3c4K2XckOauc3u9IqUVGXU8oeE56FL9bd7T7I/qiQ0FCnLbKNc
4eGbzYRF1gyXXwcHGmDYjbQnX6/ig3z3deFbbaganKIATHVm62NKq8mpi3JQHKFBMzYY8P/BbrSE
zwJI8y+u22h/TJLASAe2cZ8M2V1k4ojbTIZxsOw9d8fh4ecAfvMIKtbbTL6aIdVlsewaDXYzQlai
cmPrIDra8z5ItP/APZK2+JuboaHWC1pisIPcjbyAjAraktgaTgKS+6sTwozdJqV78PS+jjsVxpHu
MK0ags8thkE0ngTm75DLwzd8EyivXPxxcq5LSs+mg1ApiLIBceMYVpO3Ox6VSbgA/EAlbnu+c8Hb
KBsLtnEvLpDrhl2fzBE19RNdZuSJHKqM2YHNvQ9JikrTl1zN4YCtP2QlZljXrRm2J2uOEFSutLML
O8fBVNae13lpZeN1QpDZiUwWSnwQ8l0QoofXefAXFKYRun+8iXumKM8DJCDQMOnvrRc0WojHLIlh
UyZHuGnRw+Uc0xu4lLWdXB6beg0dZL+YaCbrxL8xmqLO74t4ZpnyPPI6KB0kggZ6MMGG7SkOPe/v
zEIV4CnNYvTxesS5z6GgGgw1FsiN0Yumg0XvfUUaYczbK6IAQoT1D0lKq68MgxKqbTEyMXSd+yEu
vOWvx+vde5dViEjzFJg0oenaiizCMPL1yAkqxBAFlFVO+I4xuzE+jd2ooTHexP23qWzy8pwuYfsM
xzyx3ePfoGxsH0viAjXUz4i9v53R5l3Ma4hZnCD3NWgVu2m5Ou4wygDgVX1rTSP5z3ZKRAUfm92L
CcAJ/T+lAXjkzQZbqV11kUc5fJoWhAxoLJ2N2G+oXA0WnL9miNja2y0CTQNXrPN+AgFZb3aJmEri
JD0KMpXufGp1NJ1HlHbPkehDaIUZ/TwwuHeGFKyYKTIb5/PjsL84zJo2hL1MOicgzUVBUETVL7B+
h/88Xtbe9fSUp6GSwciYq37FCytNHgl3tngvATVakLFE3gWCSyQCq8z//NjU3jejYukDWmdkiDh2
bcoyq8IaRhy5E4dM5NqayRwu3OBeDYJfTsV88Ca+BqziDl4aNNcGKzM2ZqbPbHhFs+Gd4TV+YPWi
ODs9mlhNg3id8Mfsqhut96Gps3+8UToXxw+js9P1ye3x6vd+De8zhXiQNFQjnc1tdaQmS98h2Vqa
svknASWLzLSstfGcaHbxvRrRq7nETpQxcoXqnsYpTor30Fag4bGgszXd56Vr34xuocEDuoeoXsWg
htjuEXSUhgfHfzAz2niZOmqhnXTez1PlHnjnnfO8srS5QE0qzNCRWDI0469aZuVtWjTnIFXZOc4Y
IURR7WAWtHltjDlcdCufSMikDTGQnAk383AM2ig5Crl2TYFvRDKDeQjShfXpWuwSje1e53uiVnTK
6LI811nzebGm+iDs2rk4OHhaK9B14BG2+deY+hWT81QEXCm6az6a6A8De7t7Xikulp2mB/Z2fDpw
HFoc+Dla62LzpfpU82qrwPOMLkM3Seta5xkutXuceorat8qyP1wdFrsDh7e7TCbHPEosjBxsa7fG
6HfuVBJO29XiQRnnzJ8oT5BcZkv4i5D2cnAjd55P2o207lVFh8m8zQeEoEmiU7mQehnpSI2lWi62
7CHi4UaUZ6/sUbGNZg/xQtGeY9hPDuzvbvML++qAvXC96dB39YJDDEYhlrsJ1TMyWab33ElA/TBe
Iek+w8f32A3tRNO0dZmqIDqh7bCNGTw9mkox5W6QVm19j13XPGeVDp6g8eN7G7b5k4Ve3xmuJvPg
/u8tl5iIOB5XwwOg/v7Fcue0lkgrVG7AcHh84yUKYepGxDqZEUdcMsTc+6J5M+4K90Z4QsGM/icf
e+PeAHBkPNJc0tSjMEiyUARdXqbvcaRHDCZ7/oASCQMjHGGTdH69vmKWuTXM1D0XJ2ICebC78wx/
z3XQPf1gK/duyktTGy83D44x2LlL4LewlV6TGvfcCI3TXCPqYRMIXR8fmtfTXwoGwGb9eE6pgm4q
QG4Uay21O9LLMNS+N6Mjnv1M+hcXgl5i6SWGyE2XEN2e03kY3lWWxtxXNidooaajvKAWL//KkGg6
W326/G6Nmvv341+487hwrGCaV6wiIFg2d9mz5gYVdcNFuQ+mNyLjf8eoaZ4eG9n5wjwrPOE/qlDU
7NdfWOhNX7tjjyr2yHxfaGvpbcrqAUZA92hY+TXVAIXSl7Y2dZMEKle/D2EXgh7YhShTLq4RaE45
/2vGfvsdcuHO+MjQgFtcwNij8Di2IjrXUZNp5yx2QIq5tBfcSzH13qmrNUe++aVVPEQ0g6hT8wBu
HYnra3ofgooJnFTrnkcNzvJcJsYlHhvvIFt9/XHJLniRGHmiqkPMv953rV8y3Uthmxw0lNnG1Fme
an/p3uwZqTITNahsXwUqm/BUczorXrSURJUg7epNNYKeTkRdJ8uRV2/nuvzcjigHmHQc3oojIn0i
gyP8ojVLK3FzvWTHnAqdPDsIO16C1jBruIma6QrffBa89QxjimYZ7p+sjeRivZcouuRWmjc2RJJl
/gFtLf2+oFl0JoP58ycskVGokSVPGV1bUnhs1MUqvhrKBoCne0W41BLWToZ1EOm/flr494mPiBmI
WF4NEuhVBYwcERt0kUu0w9vkC/6su7pTmhLxZ+Mpb7Kj6YXXPnhlU2y+WTNrcHq02BxtBE91L0rO
wO+bczLV8TXJxuJgjXuX4MUat8dzmfxupJeDPfjsLotrNjDSWv7Brd5dFa+0qrSTd27Z6RbpLlYZ
2kD74SRGAarxGL8ekBLNlumuOV50e3xIdu1Rq2G2jbiWCbv1IRnH3BmgZRJBrKdQBMytd/VMeIya
ggpmZLdHdQPlotflCr4abUlqMsSYoLHX9vquyBPqpJwU+IKvut1CQBXP00dmzOOzafbeWUOm7GZK
Kz14PPZWqsY3ibnogL3KTBzZpmOb+iKwETq8y3QiD9W68i4nHf73WfvyeGN3amHMrtIy58nGo5AM
rVfayMGEaJxamBlrISLfXvUc2sgFpnD5Bpad95cQzsMTb7f2zbPKv41MPyr97S0Z0KoamHEU+9nG
b/OSztKACDboaje7NHbqRmhxa/YTHObR06xlRzCf1w80azYAgLl01EkQNmvua3+M6WjbQd9y81FX
iSGcrueLDKuvj7d3d2kYoxqk6Ie2KVKTJ07f1NQyIBarLzr6C6fBheirdyaU2w0zOjg9O70GrJGn
e1Q2TST6NgfXMuWEQhZLc5GeuRjRoF+LwkmppfbmyfST+inXIiiv51F8hPCsvRV+rJ8tJ/MPHhBl
aHuDeKnoGDMLBUBL+akXYbwJOLSj22gTUbuoTXoRf3S6EQyNAvg0THXfmd7RugOz++dZFXc91fIH
nry2m2d9Dolxz7eVnU8hWbbmb6Nt5U8dZZJ/rV7T/mfP8CzkbiI+IQvS36ZRG46KcrsnDHSDGo2D
cWE7iYuOqTUtUU3d0c96VCKz+EuY979H+WJcH5+wXUuqvPCDUwyGpfV6mVClGhASjhSdZ/0Wzj36
DEJrnxYKHAd7u2eKoF7dUMqNdMvXphrdiWZNx5Q5i/meQCdwdvtUXuckP3qpd00p78sUPIH6dq4+
qjXRjgleKSULO8dMVv+9ZFmK2uWQ/Pt4A9VB3B5UBUAh9gD4AtXvelV53nlysQ2BSKEvv5p9wvsi
4qNR0B1HAK0OaFfgoND+bVFRcjE6o6cnH6BfKi9OL90v3iSH95pj/tb10XywqJ39gw5KIXkZSKNi
u/lUZj5Og6EpDby5ZiAsc9yAa+h9RWUQ5pbHG7hriyEQJvUx+YoQioHTURRlwrFgDoSZZdN97mzx
DTnz7I/HlnZeZd5j0jcSdIVM3HyqrqR/6LrEUuguWeLa21b0q2NA+H6CclZacBR7CbBF1NOZ7R0P
Tv+eZxHAs1VVls9IM3d9UFo7M+t2JiYYdTe9jqmQH9qkE4Hmad3nPMuhVHBTiNoj/NJzmQ71hcH0
7K/HW7C32epScIrgTYJkZf0jpipEHmAiWu400ennBumj59RjyAQUQt0e+Ja9Q6u4Vv+/ukeddG2M
xrQ5oqpMqpP5hFkpvYXTaI/dVfbDkAU2muDzTxymlybVEXjxbEzxPHjd3NqBL4buqTUQhOqM2PsY
GskRPebuaWLCD6pcl2Bvi8u0pkqP84Z0capKyFRJt5rbxJwSik+eq50odGd/hJMr/9Sc0TgIu/Zs
w2TgqQaRerA3y6TDMVYNDiOoisR47/uwpUSmUZx9R1oXapsjAiXF1ySq84NPund+ODw8TfRZqa75
m/1dugXVDE8E6JDoNzeJkePNLXGrpnm5vP2oMljOaNiPkWRn44NKAevJ4lCOdqruf6Wb2Z8KJ29v
DL7YB4vaO6fCoLhOqO5DHLvJsTRq2zDgVQ7Sr7EMhnYQn4ZJMsU464pxx/32eGF7QRYIGRr9zHnT
ut0WeCagw2muEDJeE8Zfc9zeU4yyybspNMtvPsXazzNTeoGGJnqQaKP9azHTOs6qpD3oqu6Uf5i+
xR2qkr9a/MYdJP5goilIfOmRLZw0qc3v6wr4+iKNL8jU1ZTmneRdI2T0VIaAOn290DlkTk2NM4Mh
LMppiNrWETZROYbNm4qLZBqBISTAddtBtLCy7T4ceb4zDbYVnxHCABUm69RGxAxo00fIC09HFNw7
D/nK6MZb1Tm0hyE1XjWrg+iPa7a3EOT5wTOwd9YUigdJN74+Fa31BSpC9AnHMXGCpDb/7N3Evi0d
OAFbT98boV7++vioqeu43UjqFaoSjkHKO2trs2YiTARXSKCHlXHSkwipzMIZf0mMobhHej1donTU
Tyh9o8McFsmnx+b3vIVtcwDADDHrsQUDo/MzuOBnQGUlUFiGLYK+vTSjs53E5e1nTAGDADJO3LLN
FxaYvlqhQLoIa0x3yNTLCxl/8zE1xFFwvvsJmSqh4uT/mMtcb6odZnUB5yi97BHBQ2YdzI9NPxoB
RH3QR9Woif3E0l7Y2xxM6BvrdoShPvBrLb8uTJ+cSeEWlDy9o7bN7tLonCvaJTqO2+zH8+Zkaino
BREkIAiyeSiqpk2do2lWNsMHWyRvph6F64BiGpN4uCFGZtQRevFgOwUFu7ij5M9st3su+kSp8TnL
yU/DN49Sb0ypxb8w1bR+0rMkkA7LiCiO0fdB25TDQRV578pRYKL7ThWZqsjmgrftYMiUCxVYmt8q
mnmvP2XIgD3nZqTf7JgAMEc1712VLPVX05/a5eC47P4ABYZUdV6YSDevWRuGcwu5vRNAJOKNpzQD
cGENg/+9qISGHAT3HbE/7appUR4YXnJEDLB36ZHgoBnGUwonz+ZNqQS8yAR4ysP1iHn6dV2gPhd7
1u/TkqTh+fHl2F2tmjRit2Gz2IIjGR3NSzvEmtka08kNx/4jEuB6ECPpdkcXq4CqUYveu7XhfFjs
6ahXsxeI0Smg1E3fioLQ5kzRDjTK3sadG35cpCd9LL/0eqr9btgh8swjHzcb6u4si/ZIqXk3n1B0
/1S+SJ7An6+P8+S2vS4nkEK+0S//DkiRXSnEV3evGpDIhUXtvatVSgXZ8cCmMvJBNaU+6mbsPZpK
5IAvzTdHhnn9IyytZTAehbSAGtbHJg/hx4zCYzmTPb9EyxPOV0VqwXjp2kyewhWS6uDRbb39T+St
cY3rOkU0U3QXKhVHM/e7q/rxkACPpFezPcJl7qHRBjqyFTI9LxOdJ2eZj0ove0dXRQDU2hjsJhhc
L0qLWj+behLfxowm66x1cv6AzicTRzNkaIiUtmZUX7jo8K2SIhtR0Lv59BNoRp5n8O40aaAAgtJj
/TMgBUb2xKDSFhpL9LfOS3MaxrF81tC8CqpochEa6RFq9hA1E0Ve3a26Dw+w8Hvf9+Vv2DpNPW2S
rAW9mcx0mrUllu+NtjDvWY86sQ4g/v7Ya+x9YDyUy0gbc0qvppWdfhKOG1EyFlU13iu7M+8+IgW/
P7ay5wkpNcDly5gNdjY3dIypWtJwtIMRtY1/w64Rxckr8iE5+UM4HOFa9lyRJ1QtnikbWI02e2j0
bjeXC/GrZqWSKVPbN5/rZMzjsxdbyDB1RsJYQel0aXTqIJA+qtjurpa4AXpSnAEchutzJOQ45For
KS3YCALWRTvfFzBLjDNM40HeojZuG9ZyLNU4EbwYIMrWprJxdsqF3k2w2DranEbW+WdXm8ugA8t5
SWBmDbK5OJqh2LX6ozNs0l95dWiaEtKiQnVuMyevnion+1wxdXbTIWV4p43QB5YRN/XtR4giHIXg
HwCTbfu7EiSjP4pjcTX1H2SkL38YQ9LdmTg91IzauxQqoKXsbqGevNX9obY5jZEL41gu0+paQavz
YTSq6ODq7R1TlbGBhVLkstsVDSjD9hAK20FcmdZ/dtmWyHhDPn9Dd1cEzBUmzx3ca8CF8vFgMmXv
hOJqAdnzHxdv81iLPjJj1C1BYqGS/NTGOUqV7MZzJKMj+pF9U4wwEAHBsbXVA/ONBtxeRBkYLrni
Mrvd13YKhwvECN1BALRjiXwS2Si4+3mJt05GjhOaUhl4T7dPUOpEtvB5GD07Pwmnt25vPo3wrtP9
ZhKY4uHWxbSRMUxogThBN0dJ0AlDg6TVmz/EGdnlY1M7LwKmwDhxROizbWdxHcFAlJVSI4mqXvuO
ymR2slA+/aeXjQuotjgCqO48xrS7lP+E85awSh3bF8mBa4xZoju4FKPySu3jiMDq5zqEJu2Uj209
PqdJnXvXyZOCqcXFzU+oJM9/P17zzgX8IY1EJRx0CBnY+jd4eWQRLFP56YWT/jH4/XJB1dP8/tjK
3oGhsM94J4UVWgqb914uZK9wIBLcGCEqed2Y/Nv0Ghr2hCEHudCeKeaEqDuQK+PDNpuaV36L+OAk
As9HdxqNX+dTGRHZOPohu9uuKV4ED/ZculjbStasU12eGBAL3KFeLpEfxk9Zzyh370bJQbCy85lU
n8KHMp6LAHpq/ZkcB8lgxJOtYLCS6YrorHtLXKoajz/TzgUgGMP108FSrD+bNE70HpAS9dqQIncX
w+zrv7xhLP71tfabh6bpt8fmdvZPcXLg9+HCZ1GbTyU9Nw8rSqswm7T1R7SS4OH1+/FiGuNRoLK3
f1COqFYWmlnGFobE49PZxkJzKZGmcfeaob80USYO9m/fimAy1ycmIR9df6WwybqaFq4gEqjKOyGJ
+d5jcu7+E9vGywjEg5ED0sC1lczvUFtr6KdEqKxdtWRYyO4H/cPgpl/fbonBF5w8zzPk+Jv1lLqs
OlhnqLy3Qvyil7N5n+Y4OWcOHc7HpnZ8IVw+TOHSF2bscKtFWJQlvZyWSLI0cuNkRbV1MkItvmux
+7el5bE4oaei32U/QS9st8Szj+3vnUXYBRmwxBer1vR6U4mxGLwqic6ZA9aR6JV/VKKidBlby/zn
Y1N7pwQbSLAyKET1cFMg1cMyKwooAwLRyFaRzc9QSzS+mR8saW9LX9ox10vKanNsGITjNs9t/8VF
3vJpmT0k7t00vzbu0t2GorYvsVaFp2lsj6Q9dndU5ToglKk7b51Jl9bO2LX4/GUs8/cmOha/u/oy
n+zQ+Px4Q/csIaGpwkhmT17R1U3LQtckMWnA9Vl2RwrX/y1uydIhzXUO9nQnHmc90IQQSyron/q2
L57syZ+8Km/p9cE4kf/P74X+bHd69jUC0PAMu1nxiz1Zw09ceJoS9G99GhT2tgHWApPIU+g0gznN
rFPc0RQZyrC7+yANgsdbqVzuJstR74uqrED8yBHdrM8yarlYTEo23UQyk4V9d0uqKn8XW254lWiH
f4IxXvvP17Ojss7e48PrRmMIUBWjxxvT0jTrQYtjepuZyShjRcOndNFF542wLq1eyoPAcm+phHnU
MtQQGtPF66VqidPNDsE5oH3Tfhpg9jmZUyiD0opa1Vs0T1VXyksSd/3l8SbvOQCGG+mCKJ42+HfX
lgfmEZqFqxdgrzn70xQXJ90vmwPvvWeGWFbV6ii4vWLzagqRJkWt+u5ZIb5W6Cvc6tyYDyKTvRtB
yKA4WelOsKL1YmTMIEkUwke2iOZTVWT2rW4L7ebWWgla267PaahVBxdid2U8R5xTyHpeSWt1tdWa
ImFldAXzYDSZPh8W/3+Pv9LewniM4HuD45163PYrVVrs00mCVcbUablUY3eCpLM9E5+3pyQv6lNf
Jf2Bf9lZmXr8FNqXwftXBL4QX+uVPmuMP9h9P5zcVK/fySmZDlDZ+2YUnJiQH0ThZm1JHCEdnVOv
R5tA+17Pdv6HUbtH3fRdK3SNwX3jTsAsrI9GXFg0JTIm993a0e5OpM3pqel7cXACd945eLyVWh9V
NchxN4sRxVDpaU8bznZT8UtpaN9CuHyhrbeecxBZHzs5/KNP6DuYg3dUn9l5euB0pJekaOuhItws
0agBRRRhpMjXIv9d2TYwyorMmU7SmIR7cDh2jUHHq+a6eIO2ndUGtmopEtXmKWb/kx527sW0C9rF
el9X0+Xx8d81xm7y9ZjUJQJcf7yhjaIZjKUbVE39HefY/I72KGIHS3I0XbR3TJhmZT0EtACFNpZE
q5VQI4T0M4pGXuEkGZfTjGbXUU9zhykPCC1FJjWoi+PYDlvko07truFj6RLGyno24/dDXbaXZHaH
e14xvxfk42IFjZOgsTgNkflpgKD/mlCbj85yzBuGIR1YvIPHW717gMESU0hB6oWSwnqrDRj/taVn
wsfkaf0nk3H/TIpc96dm6sMr++H5UNPARXdqLD1Lzk5W1M1B/L33uSkxgrJRlVzG3de/oUobxt0z
CdyCROADo/39+1Q601WO5mGsveNZweHDmwIuk7rYNtY2EjvsLQoaVG1j76nqKu022708Oxy5v2AL
nM5mlLQ/cZ7J0RUIjUj+FdeGnjqtqxWACrPWmf80R5RrfSPv/ylIaH7inlKPpgLnod0GVGq9lxKQ
cw57NE7BhJ37FJqh+19m5kV56xupi+vj07N3fSDoZaBVCegARlhbG5DMSKOI0xMDzs4+5V4NW7Vo
3PknxjRIOOFiAEDEAdl6hB76F40Mihmxpf7oSsP7t4He57/Hq1G/dhOAonLGnBLcg6r+vFlN1Dm+
DEN8nE4t+B1U9sankHHAc5yYPcLhU3KUJe0dfPF/nJ3XjtzI0q2fiAC9uaWpaqeWWl66IUaj2fTe
8+nPlw38B10soghJGMxcCJioTGZGhllrBXVFUX+gVrPVuWJ+c+QAGkT8wGnNk1YAo0uzfjgNZXgk
P75rihIOgTUNUOoDl1+K1vSoMEkDBrfE0LGu17K7dmzGoLLjIzTTnkuhQf3/TW2us9bqVtU2DqJu
GvyE3qRPYc79j55pmig6z447rcoaxHrbu0Vq1Qe9kr0jCVgPLTTwgDjcTTJd9amhGrS7fL3TjZcM
xsmpmIr+IArc205yMUIlSpd8QuFm3uZiOTn0lIKtyJaovVvChbHrQBSfkBOfTrdP5e7TAalYkOhe
U9rNp0ujCsx8E4EqapTQuG9zslhPlcfWcSVEOZFdbSL88xxRPn4214jJKYzWqBrXXEzlB4j++ayW
zfR76nWpOvhxe7sNpx0wALwmMqjNt+4gMeWKJur+elF/WSowHoB8/wI0wwAPSmhAnUR+qF3udhTX
oZ0pMOeHVgkDS+/+qeRGuouU9W/cp6BEEjiCQKI8fmmJiHw2JhVoJPrDjLIwixaBg1xWGEyaUUM6
UATYPUWU6hQFYS2yMvH3b06ROpZzrWRCds5o4p8OZcK7NJfVz1mYmwel6b13T8idUDlAgABp1UtT
MryKuC8ESgYmaaCS8fqlPVGfVpfInaxpfpDMWPpy++iK/+nWoQqZJ4QrxbC/bU1SWcpYh0jDXWz7
+Gk2asvFtdal2zid7NfdeISK2zVINELi9AoR2WxoyIAFu6hmNO0Ypo4AiOL8aiyIPWOnxd/iSjtq
EO3u6qvyMSdD2L3cVQRyJGeR6bBFDDB8zrXe+KJIxXAaVy1H86RJZK9H9O4omty9dW/MbjyCAbO1
Z2YTHnaSVa9N8ppGWH1E6tvfTN4m4C40NbZ1/0IzJTUWQg4liQYZp6Ewv9ZAY9qD2sKIM3JD9M9v
n5i9GyHUspXXnA2PcrmhWZt1IygfWpaxbj53S6EF0aRb7zLbTg6izr1NBAsKLYBAid7sxlQkM2Bk
pv3kG0OSxW4hg+Ny0Uo4zNP2Dgl1LYYuEb9CBtoYWug2lUoBv70bK6Z8VGa/nkJlaupgVksGreeO
HThD03+/vZV7z7AFBpaQBsAUGerlVg5geqKM3MqPobKcU7vv/1nbFCxGnGiPhiaZJxPchIemfAvv
VXcOHM4e6puuM74NXib1kqsMvMqVaQWBQ4exQdYOgk31wYgZ1ecyZV1p/XYdp6der5mKrg8TwMsJ
aPzk1oOtIxNiN9VRj3rvOwBCxx2JII8xc5cbglI2HzcX0VaVa0/guaMTKXPmO71cpu5qNYqPKlB1
sA+7VsFu8AcPCMj00ios+3EaeoLKVJNFRbHS/kuzOX1EwHF9rhLKb9Arj6RFdzefd0VI3cmC2Lj5
+HSimCqFpp4fg/g6odLWeV3Zxh9Qf7G8GOzwDweM3lPJY8ccCNkkVgiTb3aH/NbtU7h3ywT9iJMA
5ErfBgiqFZsjU3bY9DEOz+QKSNTJ2lEGuW8F6j0awpRTt0wnac6B7g6k8ea0pveaOuVPZmpIB85J
uNXtcyYEbThDNMzBdFx+yjmVNK0V+YEz5R1VF9M8p3M2n6dUXe/7warcKkT63kxr+Xx7F3dUrkSL
HBIVuQkQvW3aag0KSrR1ZmM1Gz6otiR7YV4sX9GDn4ZAgu09nLNMU2t3NOzpicmmGRpu4oMXs/FB
b5T0CHa7uxl0PBA5k5HG3AoQVmGDrENnWcQu4fJLm2U1AexlM6FFrZG2fdCVCA2cVtOfkCQ90hja
e5rIAymNUsWmt7+5ykwKVrRoFbMOwmJIn6W6y/24VKX3kZ414w85jvSj9e7dY5FVqDIVHDEu8vLj
E1slRjex3ikMHeOd2lvWi8q8QvlFnRv1Q7b0bdAZjXaQzuysFIA/DgvQrSDoipP/JkTEPS4pnDKU
0y0lfZ+rXF9lLYrfXSt9W42xPDC382gwzYB0lPkYilAGvjS3ZFXWUIDinA2a+SFfWgYKQSz9aYal
tnjL6OiPKNYon51SzIhfpSN96b3lUpp5JRpwzLc6nUveRpKa67ZoxYa1K43IFrgZBdSfazs4IqSy
198Hd0tkhJtrTfaNxIWQNzOu7lZbLAiutL3lz10df+2aUT1bUxZ9gH1j/k6yoXAXs68rNzGkX9qi
9T7S/OqBm9y5TfwGwDiI+YLu3na7OzNlusK8UPG0yvXcmjXaAvDR7sLVKlzThHoHG90qTllbpAde
bSfkIn2jpw9vhiRrq4AxFIYJUBrTS5EsH5u+tr/CXLXvldWx/3ew1eK0Xm012Gk6GqJfswXIFBol
jxhxE3906vSZMMD5z2L26uw5scqI2TBV1IpoIGufrSmSaneRS1k9JRG/zy3ltKuChKYSgopdEePq
WrU++hD7v5CTQOmAh3PbOTalIS6GLEGGN7SWnJE3ffFE9Vi7u70Te2YolwlECP8wq+DynjVGVchV
wplTwjiu/CWpQMs1+Zp/um1n7z6x2yC8QBeQZm6iD2Oo0t7R0CUD7pVFnjKkzWe5U0O3J1lB1yX6
eNve7rqgtqDgwFhr/OXluhQtKxfbJqhO7KX8DtpA/m2ZwxHWZXdVAvgE2Jg1bdWvu7rU5cVCxalY
1+lZr1J6Hkhw+41k9S/IVRxdkR3fjzaBzr2kzAFsYuP7K5ueX5rOll9Pg5R7Mpob5Ukz4j7y4nUo
onOlAF4PGAYdf7u9n7uWqVOTz1riX5uHzqxtY3E6cgdbytLPix5Gn3krOJhqbfLuFwoVw0pa/NtW
914B+jxCOoY+4FWxcGwIwqWUoL0eHW0AGLV27+pMjd5D4IN1q6Sa1JySRIv/i9vEiT1ar8tfVGKQ
pQZ2IGR4wbdt9txclRKhb2rmeqc0NJvkMvrhlJmzuPrcHLFq9g4UZSwgQCBlGaKwuSadYwwEcYRX
fR5nJ+ZtZm5oLs1TGYW/VhL6g/3d+6qoe1FoJnSi+7R5ZW1tmlSaujYcV+1pDbX2rhzk98ZSNmdn
AbTeDs0R3nPfJLkucgDkA1viSphLZkGBkNlByIuBb5oa2PC9vaDSuDo/KzMtHpmQZBwgkPesClUg
IBVsK3f10h2ouc3Yt1imu6RRniikWAokI+rvozV1fplMM/GYC3Uo6rL3Nd9Y3QbLJpLCiJnRlZCW
Tv7goAB2mgt5+bmUei17hD6T6g6DSh3DTMxnSR30U4Nuo6/002oizATK0Yxl7Qvb2H2K0mp5ZohA
/+H2HdvzlGhriUlHjAPkzb/cGk1aoq6iCeHHc7SeK6cMn7thrs+3rew97uh2i8ts89RsE6N2CeXM
oAfkMwEBBHNR6p6cmbJPDNef/twUbAwqjLTXqIuLr/ImUlVkpjQ5PZGq4owMk5ZS3U2pgJ0Rn0oO
7s/e3gFREEhHBE2vJmcUJkFamdlAetM8OzGOSjrlqjUeHN69vRMErFfgJggC8SveLGhOMwZia6LK
Viz/AciL7tR2/Ukt+AhSsmeIdJKoShUjhrdT9mpZGeq8Aa0mtTTOwkybPL1EzymLiPb/+CMxpAg2
Ai070qZti6tcszQfBdSxghT6iCJ+Fqjgzj2oiu1BSLuzKmI8whu2kMxlq2egq5kOhx3w/JokIbr0
Q3aqKK3/WtGP/wtTZORg4mhC0CbYfKloRDVggshLlGPVZwr7cWAlqBp0qXJU8d3rxpD/CR6OwK4g
hHN5KsiDYiVLa8vPU7k6K2ojeQnjJYNljAa3pMbszZnVBJ09Lm64RNDpCqU5x+tcurE8LPddaeQH
iJodf0fDiymmQgKc5u/mOVnsMm/VkuXLQ9L4vTnCwKoU4mPVTDxjGo4kZ3ftoQFCj9SEHL0NXnmy
GZDWAM+IJ0kCP6oYa7C0s/Z10ULtLoxb9SCK3TtKDjUGnWnmsLS3AzKGTkP2cCQKkqZ6+i9Nq+h+
IhIIpsJpDgA9rx2eTYpCEUkXRWFFZMKbzcymPAS0x5MlKdVoelXP1j5LStuhwkVv/YVx0eb/ErVr
B1/CnYbuSmSN2guaVQ18wXQe3cUgYfSZlwL1eOqs+iOxsGIF8doWstsZzvqhnsA4evWqjl9SWBCl
u0Y5DHf4OnHr5sTysVfoUvmc5kJxRJaHXnWjiDEhvytllg2XifaDeYoJ6iMIt81ITa9p2pd8rYf/
1LnNJbevTWTMlqWUG09u+2rxtLjJXqa1GuozUnqaHKR1p0q+2RbtpzRVjX/XpjI/xkXkfGzjsF39
Drmxo57CdWQpenhM4mKuAn3vLRtKHxAfMZQReIKt1t+7ZmFiTmL058YwyrNjoctZO0S3fRoqPIfy
59ve7/rgCuu8ToRAQmhl80QNjDwK60zc3S6M3jG3oe9c0lHjnWmMne5NsWr//guLIIsYAoZ6MS/w
pbfIFs6NYkFatnHIzyYoEG8xteqDYsV10NW9feAJrwMu6qwkKqjHslKKGpf2KseI1WWkzdcz3w0N
k7g/aardexWzAcigleWUwps62Nbr64lROkQojEPvBaZxadTJ0qjQ8Hq+2Zn5135NVGqRo/Ecghw+
eJOFJ7+8nZhC/4fCI8VkkJ+XpqJ0kKYlJL+MuYxekUjh+yiVjYOa/d45eWtF/Io3L3+yaHNSmlTP
61WyHvKmHJ6sTMu9eJSN1NXQP/qbz0YPCjgfRBuezUuDoa3k0oSHJ4Pt+6BS19wDWD6f87QF7wnL
9T5lEuUfxwLspQBhCvCb6BFdGoW9qRlQeuhL9XH30dST0B3CsfgwNYfklL0TghQYHAskSalGbJK5
qhn6TjK49oNeolaij42HlqTpog5zpGq8dwMY6i6EUVBS4qm+XBWZhRC+AOAV9cxMLkfD8WjKhV+Q
aK/fmetkuKZdHFHb9w7MK6ucqindgW1YlayN1q4qW5kAHpzOs5K0L2NuqwFaAU3vNVqJHsFtz7K7
TqEiwquIIpct/v7NGZXR8+g7G0Bh0yTqPRNgRx+uYvNULJB+NAZwnNElqM5/Y5SUXBB0qZVurp/e
2wkaSMBeulyuIO/3PweHuDuWpN6TlmzyslI5Wuh2b2E9C2IMoR1Mb9z25uwgMgNDMcvWgEps6XdZ
xPjysIy9uqhnXy2c9aA0t32iXu0RtEIFwH8Su15ubJh1jryMyRpMWd++iJ7TOc2m4WcWLs0D2EH7
XKeR/OI0VeipSoPGz+093lsvS+Z1FIo7V97Uqgc6GebMeq34p5W280sCrdw19em+0OLpv9vW9lZL
kYd5mPhvwMSb3a1JTdeY5lIQhSqzjpYmfkjrUi5Pdbc0n2SphounLO2PcJjzp3621Z+37e+ulh4x
/FqocUTwl7vN6D9pbLtxDShQ2EhPGJmvx33+zhwUxZWW4YiieSUjIj4vgoDokVHIoy0vftCbezMx
ZnEMdTiTWV8qd+u0Wr9FUnbuhl4J9KWYfKmW1GBYGvlRV7L4Uwxm7SAq2LpDfgN3xwIQgMwtMNTN
gznT1ej4yGug587iT8AovNRIcy+FoxTc3t9dU5wk8gMQWtTtL5e7TlGhVjRNArRRhmc9zuVTX8r1
l3Euj3iOO6a4LlxS8ks6zls049onht11jPsA1mh+NLWC1GDK0scikw72b+v72D8qJihS8ZaAK9qO
jR2jVAK+EcmBmpuxL8kr+n/zIv2KCOufU6QmNbfUi+4gKthbn0mSTmjKH57Ny63UqICqJePGAquT
LS9EhcYN6YLeN+nh3MG9UwqiiHsBegJO4naFYc8SDUVag9ERbI/ZmhcKA6l5V9D4+LFoWf7vai8W
YryGelLW2pYRw0GR8cAX7Wy00EMVtFwwMldcDSZ/DHbbS3LQZ9NXKdKlB4MaGqKs5XKK15EGTQ9n
68Dozj4Tv4oiEkKI8FHE37+5oWth5KqcR0pAeqKclSiSTrExJx9nMt+D92zH+5FM0UcAMkDtd0up
K0oq74qZKUGoNHZg86+zrSA6nRTqEjRaPTw5NhKJDOIo/WqYs4PE/XqlQlgD1iATzYUf2FxOTapm
WTJKJWiZbeLPRRR/j5y89ZdoXe9v+4FrPyvYziRdYqoEdYuN20uKNm2ZIaIEBXAkzyry4WGQ1fWh
rp3a1dqu/3Lb3vXOKjIDCsCE4w8ER+XyI9p2C5sQofRghgfmtvI03nVW/6821NkHQ6nqR6lzlAeZ
L+2udZn7t63vbKyQtyTahItPuXvzqqlhHkaVPk4ByvDlo5TE/yuMJvpgdZl8um1pZ51EJ6hRUeVg
5NdWlWoxh8VebFzR3KpzUDlq9hHx/eU+MkoK3kvfPVYRky0lNa18PZ2cg3LFKz/jbUJEAwxfizgL
JxXM6haTMjR05rtyXAIzU2PtrJlhJrtkfCqi5WYUv+soRjgeY7rUf+1a6aaTaAmmXiL36UtO6lS8
b5nGmbqxGjm11xsJ83wE22R57InV68fBLHpqWIhVJfd5l4at2zQ2la7MGsJzXkxlffDprl0OzQk6
xLSxWBvdisuDQ3e8UaK+4vaHdnXWW3sOlFoWm0fdJI/qBG8YVuZ/tz/jvlVuoCrkFK8GGhVtjqa1
jNWkGNQzLLvp3C/D/OwsZf+/diZtL8Yy/ue20Z1TCtbYFpqfKGlTmLhcqjlJpbMwTSEw8rB3Gaih
3VtGOQdzZ5sHx3TXlEUrzUZ2UKZyeWkKfJ/Wmr0lB0lX6+caBLSHD5Y8dCSLgw8onNb2RBI9k5Ng
B2zOxhRCy0VZxZkcFKadeVqSLmcztBNXlmzzvRM6UmAm7SP1+zb48+0kniO6A2cHumATVU1MUVtq
cH+BPEMnNFW+phJbDHVTjOjg2u28z9w2HmjxRNG/2c5gqPHogGdSIhBINffA634sq9OeipJeRybP
zV3f9u3DrIGKd8s2bTzwlv3BendcOjee7B1MPHnR1sUmVmRCo2w5PjIzrtOhGB6SMY3/bYGEPVUN
4i4HD/OOQaGiIoR8AQgBkr88RJodRarWNEsw6HP1OapSKtxRVN4nTIILJFLQA3vXl1IwG2koEbnQ
K93O2shM6nF03uXANpPoUSrtATibFiLHEJvdqcrn8fPSWern28fo+vwS7IhheRZxD51L4fHfhB/6
0Gt2XLGtA4AjTxS2mEAvlV/jsi0fIZX8KisBPDOkg4bg9RXFF9BlYnP5nKSfl3a1jKBuaXkxVaNz
XrI+o0GbJflDkuXxwRXd2dgLU5srGs2DnmYV3sCx0wJAGyqVeWTY7+VWm05rWNeeoq39QQSyuz5g
RjJsbSEotoGGyBXzUOOar6lUevod5HXx2zJ4T6a4cA5uxrUp8kmcnNCFg8u8jZ6n2oyMvlvaYCDu
8xYKRe9WNf6o15b0x34VfATHBWQ31xBlw8uPhoBGYnbtCvQvbHOvQJnzVHW27lqJJH28fS6vIw0B
xcDXcOeFrMXmtagTJBHhrWHKUof7ehp7V7La4qTMKcUQzqO7lAzHQzMH8vvy54NW0RqSdTRrqfwA
g4GNd7nUaSjWipHWXSCvSXPfl7P5NR4tzaVYpDxXal96BEndXZnXwwuP6HrqIVL6I3CD3ItmOh4H
3mHvI4NtV0RcK2DdG29kI+zchiikB0W9Tgi2FPIXmiN0vRT7aCjb9X2xFd5NUlqcAiXTzdE1mQBd
aGtYBpGhlR5Clr8ns3Ye0rHvgmrU1o/x0h+h1a/dkLBJZCniVxFfXm63nFthkxPcBZkURmIMtOqa
0ri8W7J88BMxCbBZFvXkdPHRRNlrN48OBjL7fG2obTRwLy2vYByjolSroMpjg8hVUe7r1J7P0sAs
xJVA6eX2wd7bXdJLfD0hg8C5XtrL0zKsekWvAqOY7CCRrcxDCiwJ7LXT79I2+0Y186jlvrdGioqQ
y4UkJo730mZG0E7IJ1dBWM2ql1pNDM4o5jLJc+pFlW3+sfPj5ryxt/ETk2F1TpUoVTDrdeKqTW29
q5a+PMt2bR7EJrtLo8jFjAYeTnKDy6VVUtbVYTdVgd7oo4voJ0WEspbeZ4hloE7s/HkFj6WR/iDK
SyACXejS3lJ1eUyOwlbOWXRnZ9V/Y1YxhbhFmrIdDOdgJ/fuxSuqgFEQxM1bj9upZqtl9lAGCJ0Z
XyM6/p5jJYlfMfvL7xrFemd0beZlqVYcvCpiIZeBLU06NPpZDAJvtBYuF6rDc85zKDtBHMbde7jp
y5NZjNlBlekKYICffWMGRMilmaiutUVZjDKgrZ+g5txHvqa33ZMdRi8ho4kfYquIgxiQtNdG8LLi
lN3Wp2F6Yo5cT1g/6wc0xb0TRX+I0I/eG9L6my/c2jW5dm+hML8uU9CkfROsHcPM5WadTnbcH9Us
d+05hAgQo0WpdHOCu8FklCmknKBV7ex3IY/W91pVJ9kbl67I3Dipxn9vu6B9iyQtvOCisLhxQWba
9aTpfNq56XS3pbYXDEnYnBR9iYCi20d09p23C5EhQ5TVkA0hzb38xv2ig/819TJQClv1GYJse/bq
lPd13fQH52nPu4oyKY8JzSL4Vpem7KGaESKx+Xh27LzTp2Xym7KyPoVdMT0h/4XPWwbAb7c3dMcq
ulu0pVBWFWJOmw0dKUZa86hVASq53X01j9JdMQKXrQj4vaEyFS+lW3VgVFzAzQUVOhboFL52qLZK
jyno3HR18iboFWukoqGH77JS/22M2uAzRmV6iA01eh1U89hNSn5wS3aWjJATBSdeEzL6rZplhxrR
OmlImSlTOHhlA29gciIE0dUx+2yZreIluno06PGK6MUrjQoRRSBNaNhebXRZUlkztdr2AQrXZkAn
ZUUWuBmNX8TG+n3Ua+ESFIyOe1/M4IYfl7QPvztVlNT+bErSwduz3QPxa4R3RF4KCCCD3C4P26LT
7iwy1RYzJpf7tBuGYG2bNDD6tqOfhoppWBVHtKytX8YosTcTUancAAnYyoegBisZcZaHvhXH5Vd2
u/y2tIfM8O3herUCAAnELiXUK5CeEjrUwMYiRACn0J5USdJ/FI7T+aEWDfdzO+anTqsNt0+S6rEc
7QMHtXUYwjoVTVEj1oXugNj4N0mpNgwGo+F1x4+Gen2KS+1Bi+TxoZ4oVt++uXuWiIio2wBEEISY
S0tzW2kTohRgv8l6JtcoKUm50DGbH3K5lgdwjl1jYHEEefqV5LQx1jjGtK4q8HZjzTpPD83Wm+iM
pp6mrsvn2yvbOyeCfvt/xjbvd+eswyINIMrbvq6BPNvt2QImc/4LKyIbpDlCWLRtKZTmoinhKBC3
MGtOatIZd7HdWx9vW9ndOAAhdKh5Jzj/lxtnTTXzVcHN+8gcFi/hFH0BDzecFibyHqznqtQljp4Q
xwTbQwJ61YpC6cJS01qDwApKlYKolv9s9NLxeESGx7qNFa8JUc1GhrY7a+1ofyBQ+lP0+utveMVz
gG2iZrqJCKa6KRK7A5+PXmTyMKuZ4spKY94jbL34SiStD1KvTwcv5zYowCjRF4QPAOy49C2BujdT
PZaTFGdm1oNfyG03eWmJJw1DtT1LpLQHH3XPICG0aC5SOEWl4fKjQmsJkwzVJzrQIXynBmop2636
9mpKD0p6OHN05xBhDRgVQqCEWlt5hjHK63TQHUSDe6W6s+pifIj1xTxZRO0He7lriheK6g+uRd7S
GMtwzJ1ysm0/VKfSV7RadhvK0adGh+X3x1eDeqgQ7BY8M6Cam12cTbKAfGRVaTPdx3X0q4YM8KJ0
JEK3Le08CRCbUbpBTQq1oG2Q06fSqDD7BQWBNjdfllFtv9EPTiCzGeVn0ljzsQzXyJOjKaTmPUUH
5vf2lBHPvEdAGkFzb3xA2C4NsG2QqgWVtZPStc15srPOb5f51+2F7nhOimmUYKk7oWG/BYnEzCay
5hmf5hTwmxtdcn6omVMfPAZ7xx8oGncOSq9AF11+uNosTaNFksXv26n41LdFfJ9E6ejp3WDfKbTu
vNur2vt8oEBFlwJeNeodl/YGBoxaq0HjNe/G4bzUkfS7WMz8RVZKPWWCT9ydzdEu34Xm0HwrrS46
GrtyleoJDyP0MQXflQt4VWpOJsek0Ov4UPDl6DQZbeiFzZD/Alouf2njujylSjR1fl+b+sxAm64P
GHbofKKdWzD9x0msr4kTjX9xsCxSawYHiHzoSighpMHXl6uD5uuqneDPLK6toTzU0BE8uKw7AaMQ
9YJZJ3S/r8BOeiTbKaoUjr82aA/g6WrnZYkHW3GNyBie67TTgqExjg707s4DdwLnLFr/IDouvz1+
VrM7SNd+XsXJl7RR4ztEq+r3TRyZZzKjanK1WRWz0ms5ciPZKL8kPdPaQf2PK+Vdeah+yUYRHmFo
dvaDi0ZRE3wQr8+2upFHej4MYeP4dqtUbs++3a0dBuOFQmet9FXitkx1Pd2+CTueBN/MhBFR4BRV
nMvdMOomizK6+T6sypVsQeuDyTBGBgnPq3/b1M6lo3gCusNkTgznX/yUN4HsZIBWVwreuCmR2oAx
2+AezK6GXJ31Xk+acG/m5Re9KfKgWNGyvG19x5FxzKBR4sdITLcdrCrq+tR0YscHsKjdtcxwJ1ec
4gPHsredDPFE7EOoy5AXXK5RH81VCzPeVajz/5RGGX2JOIOPjEk9IkLtuEwAVwImKDRwCdQuLTVJ
E81lwR6OINe8qkHBpkJd1bPWTszybtK72/u3Zw+iPA84qSZ01M3bKidN0cpa54BV6Qu46tnnjmn3
Z6mpSq/O86NW8muH721GzwFh3KvoACLTT+Fps75ujDI+Uuv4QxmXpyRORiSZrc5rVLV+WDppvYsb
e3Rbxkm6YsyvmyCa+y7XOLbO1Jl3g2H+RmBP9WaTIjqz96aDDdn71LgPi7vDF6Avc/kB1AFsquPk
DrTKROM4R+ZLW+i5C3AxDG7v/ZGpzV7kvJpdUWJqyuXiPlWsgqadlnwwkKI4uKQ714RYn5AX2iD9
3q0XiqN4SCeUP/xGz6Kzvpa0fFepOrgmO4eJHAnlSOQHUOvaKmpEQH77mgGhqLxKfNdytSPXijol
qPUJ3lJvm/+7vYPb0rFwN+AfXgtuMlCITQJI53UNTRPNqpBJu18Um3qUFebvpDpZvi+U/54RW+jd
ck3yg5XufDqiNMp8rwgdaEWbU1KZhepMBisVEwxstA5ch2b6sx41xUEVaneNQm8Jg2JAoNj0N/41
XhZKp2oU+iOiO/9BwEBtLZbkskFFukm/L0akPlutFN63Td+ebu/v7jIZKCyocaBMtmQXMdxGs9AI
IchP1a/NAs5osY0wd51qPCIS7dnC7wnwBdrHYHkv11mllraYs4lnsAvVZRKq/ZBm2YO9Qm/681VR
eBGZID1lQrVLSwxmmMk16xAZtKSRAso9QBOHsagGL87GZDl4ovbybUAPYk4Iij9CwenSnmwkDCK2
49CfxopypVMY/Q9TTQcmftmyK60ZlJ7Q/Lr2Tc4wlkL3yrKrDw7sjgPgNwjIBRR1UYi//A1xGOkQ
wUrWzMycbyg/N18a8ouDpe4EO1T3aQ9TvHvl9l1a4eGUKrOyKNyNhZwGdhFXMOtg2DSD4uuICxkn
SemUP52LihugaMIZpaRBxLlVXZTVKssSXQ79VWmNH4Y8mZ/TKfr8x6fmwsjmKzppXK61gpFZ60Io
J1w2tYqjU9FM0/9um9oLZrElOLYotyN8uHEvWVeEmaUNISLkS/GQRbPTuoPV519UNVv/USQzeVik
OTs3k5Z+jdR09oDY1fFDZ7dV4fYyYPhxXKqjQySWuHm8CRSonlAIBhO+bXJIU6wN+qqE/hAr6ZkS
7nxiSJ4YvBQ2bt4cSarsnSahMEaOKjr126zFXpTRYMQA5tQoDjO3hXI0uJTJ1vGejpn9YR6pVj0D
oeiO4pQdZwSAj8Cd+0Ll5qqbXOqzA1ND8u1QB5iE9P2npMkbhmZli/7nEcdrnxwJcYE72Vb+JMnK
p0nrmdaeK5XXZY1MOThpgkkpkvvbB2vvA4qW/P+Z2ngBBXK9XXWThLRWofn57Awn5EnHkyMNvVeS
pB3Y29tGA4UzcCaIY4A/vPQHitOEU2MsEnI4DZ3yUNF/q8n8rVAG8+vtle1eGVFKR1SXZ/8KYz5a
cdQrKl9scarln1VDH9TV5PafoUGaeFZN9ZNI29H0zWMX4QzrHs0T3W1k0LEdlSTqkHrj3/5Ne7st
AK/U4jRoqtvh4VrYS7klyZLfWQ4ULpiH4/uG6Wxuib7DPbTd4U9nswtHaAlMD9km+f4W6LHkdSPJ
SyVREM96Immr+6UPYx0wDet5dYziL1wi1Q5UiCjiUk3afN5kCGkoKCl7bpfFXVoMzJOx4b8kYv71
7b3cO0kWLB/uJCjiq6YnIXmWTSkeEdJ4+CVPq+8AWJyTYkV/c2bBYEKOoAtHvLXxvYqTrkVizpK/
zqr1fRnjl1ZvJz9J1CPysvg/bd0p6ArA9KCCwJ6KNb+J7BYrzurF4Xxks9r5daZ3bijNRzu3dwop
BUNNYuPsK/14UsyVKg93UDeX9mx30/QNeGDoSnmfnaIMwvTtL7W7KmrCUDAADVvbjFySrWGZhFTj
kFWyP1tp8zIsKYD022auDwSJDGgCIE2Qua7qKvKKWmGJpFFgxGb1LW8BEHt1uVQvWbzW3UH0tGOM
qAkiFI8R/9meiblXZ8ZuVlGwKsXqab3jnGUjtLzRUqeDcF8En5eHAokypi8AzhB661uwSI3cAAwM
nTs1adYv2GvRuawnuXOZGzncx+B475TGGAx3NXRndkNtmQ5u9fUH5BcI8gwclldW2+WxZOSJGk+N
I/nKPOWPc18oD2mJaP7t73d9LIUVQbEV3PYrXrs29kuXtnkE9iZCgEpKih/IiuZpEDe19FlSykT1
b1vc/YjEpcgfC0zItlAVLjVjmbI+ogzVOvfpmoRoQTR6ENPj+OMnncW9MSUW/+ZmD0s0VY7eRkFb
ZbnfG2X/VIekTWpkhh9vr2r3a5lI1nNoVOKITRGBEQOqncZDFHSzzeBppes+yZFT/MWC6CwJXy+K
Ilte09DoTmnGSL1WSeucY6P+Nyqi8ZRYDIS+vZ69r0QBmTariH2vQBdtqK2aNocRfM0kujeVUP5Y
1klRuXJCCffPbYH0F5RcXk3esMvPpNhJKs+9JPmNKQ9+DKjurlu6OTBB9v1xuwxlFZF08o2QA9jK
QeqFVseL1MeiFFLcrZEW3bVKw7gpYz4CzeydCB5kQL2vBYrtABjZnCKlGtQ4gJLaB303K0LNrjn9
+d4JeQNR5wcwvaWh6lFp6WHSxMHUZha0f7N3TWYa3GtNdOR9d1yFgJFSYqbGLJiil59pnJ14osOf
BLT7o6eeqTonTZqsoCmK/Awqyfxwe2k7GwgRhEoWTUC4GFugLgD0TDEbIwbkok/vGaMTPTPLWTtw
gNfZjeAmMdICKp0Acm0KjbokRY3WOklQKaHmDa02eiagYQj3qfRBTaMkSAifD16Xna28MLrxFlFW
NNEYW0lgtlUFuKAcP2Rz1j5axTr9suu5P+BD7mwl+srwLnjOaEdvZ3cMk9qpaoRXL7pO8/iSzj3i
jkcjj3YqLEJ1T4zuQJWOY785IWklZCfQ4A5WeZWC0Pl/nJ1Xj9tMloZ/EQHmcEuKkjrbbucbwm23
i6EYqxh//T76Fgu41Q0LXgwwc2GPSySrTp3whlAlSzBkaUs0SfzSsK+mphEHDTv0mg+Oa7Zdzenf
d80bgQvyN7VHgO7qyd/05S6N/tceT1Tp6nX5Tm7tdAi1kTFxbKKv/74U1TWxmPsZOMPZV5SK8Rv8
gDLNzHq46hajiDer2xI1hOGFXRryq8/SkZNlF71OWKZMDk9//sdNBqnPrttcYpwxhes122R4jxFJ
ddDcpg+9eWo9TK0syPNq1BP+/phvbFbWBhzEfzA+Ov+qiOcGlvDqKjWE4afOtrQxsvJW4vRc4nY3
XxIFfesL/rne6cT+8ay9yOrVc1kPwrBKwnJuk1C4w409OvJCYfzG4ae7c4KhAG0knbNfLhXOtTal
E5WpveXmj6VmyL+4snzfF27QxJJO4Hequ/rw9xf65gNSIDIWJOi8ItGOnHmvRHoj7T2wk/w9eQQw
Yl1H/ZhfeMC3liJ8njSLmDhTRr18QFOdipE+4tvNxbzLRFl8tg3wDAPyyxeWeutdkvvAuqY5Dk7r
FIP++GztUMtBMW1MMXpoYMr27V6YWKLk6+Q+bHPVHnzIChfSrrf25p+Lnp7/j0UD7TkGjiCci8Ds
rn0trKQrZHvdjmNxHU76X0VwOOknPM+pnoJAD3X/5XpujqRPleUyhah3V9czd/qYH0i//EMGRzlp
o/BSHvHWe+V6Ypx+ujKo5l4uOdmr6ffRXKQraGPsNKjGMHL1sh08bC+PW0LQoRjCf5+1ItQMBwgg
xcmz5/zU+5UpjMhei1Q3akynAVMHIwr0rR69X/9+HABhnriBJ83mc5doo2zBJWZmkUKb944lQtZJ
sThj0rWG+n+cPNTtAYIBDXmNwbTHbJiCXhWpHArx4IlGXoElX4/r5Fwa/b++cqkfgZWSk50wTP7Z
ZxvLkJn4FpQpgLTmHdDX9tbV/SVr39f7n7fm0NUDTOee8BYvNwf6ElM2nghUDp63iAGMez8coaW3
5lO/Fs7u71/qlIi/vIUYGKOkTglC6xkd75erKWtroqIDiR00eX3oNxnuAfc8eGPVx0E+zUcVaYmG
ns4OjrtcGuC8PgggwmjCoxJ4Ilmed+Pzca5Ha4EZVmWZh5jftF7jRdE+utGoURXuFcjJaHj/90d+
HUDRpLRpeYFPRvnqfFAeVmXgNmGkUkqgKakqpQ7YJBsJbnL/agHPvA0yCEUQ64HvPxfYWrIon4xo
qlNIkdjElqNATlyoJmpj2w/KC4jy1xkFq/3HBTkpAhCvz75lRCDzhwp9zczpr2dgZ7sNbYfEDgAN
1WHzoc4c5wqgyvHvL/StdQE/n1wBIMHhz/Vy3WaAy6ltUChOWQd3kynLh9nHC0nMxmNe2/rQlEjV
2ytb+e8Lv/ElQV6duC+IbDHMOVu4MPHF4cXKVAzDfGVN1XZlB+MIIC2U5iV3ljefMqSxApESvfZz
CTjtLL0/qkWmCt4E04rRUnGganNfjetD1c/9xyaq16Sa/EvYt7cek0nJ/zqpcFGdfVd3mWza70aV
dp5JPlhPzqHPtuWqGcz6whZ6cymIGRBDiF8ckZefEkNAomihTm80dJiEwR3zjEE8uH3XXDiGb71P
wEUQgYFJgjM4jzx9GcnSaGVahXAloRGqQ2dMLexg2/o8OZ19WG1v3EEJueTTfqo2eY6XYY9L/0SI
pVNGLnWuV6ymWYkqW7AuwFtocmJqDwtvtw43uVjlVo1YW2ZmeZI5y0oQYjf0u1H0rbszltLeCbyw
ltjR2+LHfWn0jxbziAwNZ6dv43me3asa9HyfNPBSuziAyfN7MLh/02Z1xdMawDFKgmiJ6li1Ud9D
WcWjJO7cQGNDiqPlnKzFys1i13nBOkW+zEfIDE1Hfqmd75Os+vpqmbJw3tl6dHQydvxNFqrQmM1r
kMrxPHTV0fSqWiV1J+yvBbLdw07rfL1HU0KUh1GMxndv9aJj44tKxdZSFOFB8NSpPRYw5nS7jHZC
NypXqXuKLbsIx81dZ5QKcqQaLCBDvMIrU7WijlE6QRRxjtBMiRWqYXeqyN3fJaqrQ6JLrBsg301d
z6a1rTwOe8MoY1mY281U5IaDyk5ZmlcGWBrwHhMVX7y2tC4P2RrKx0lYqCAWQgSHytX4faqwi365
tqF+ArKqTs1ALa/HUgfuTdeHRR7Ptj/NSeYa01XVOb11H66+eVv55uzc5MsmPlMN2O+nrZh/NHUh
vyFZPfwAStNNsaFCM2La4lS3UctMK82UB2Qr8wz/hxVQVCRDEM5ibw7UF8oy1weumaE7cDkX700F
Azmpsqk/uuhQIU6tC18mkz3V/W7qUaqOTSQR8nirB+NnbzTlGOe6y2wwfvN21XeOHOIIaYMuMUbT
fqcdsEXHbcvknGg5OkG6OEHDBABDTewM3AXYn0I7KIxR0tGfrVxl99Za6WI3dK7+WubGcsK+VoFI
wmWSdz11yrNdkgXGRQdL4DgB73wyxzmvkr5dHOfOHkWJ9ZaQCHd6YdWMO6to6y84aGZtskbbdD0o
obsdmgTt1eQ0vhsbZgZRt9vG5pOcBMJaqs8WnWS650sI2eNUBnDCfaazJcEMwSUeYn8Uyxc/66vs
umaxn/BonDrBHwKgEbUy2QDIm/VpRt7ppmp6/xfyWtxiVZRtXVrXqAymFapJVeoEY/tORY4RxMqM
BjMWvs73ijZ3EJeZN/626Xr+ys1ovp69rJIH09jsjzqosVwy2sZXvJPMJDPFSm3PJkZdpnRFsSZB
JyOB9r1RqL3Ip2XYzXVtFfvVnJoWyWG7qhMkztr1/VaUm5/KWfg1cl+tfzvIeQxj+lDmDzGbDfN1
4LVXs2NXXINdVf2cejw647WujZvcmcQTSi/ro6dteipuuaxWImnt3yoFBCCBwVu4P82giIJ3a4X6
X0cPftq5Qa+h8rvd0idbtjlls1uqtsv3a4kyMl+DkjtpxAQEZhx9vKIBykTf3M6w3PeZvTjYgCgN
SjDWwTzLq8m2OvT7DNXnOoat4v2oR2yb9l3gy/Y3kCGgvQNCF2bakds/jFY5mk3iyjxzE35E1l4L
hJ+ruAh0Pt+LytqmGFTMfBsMleEisdwCMZyNYSi/eoYLwGKxmmbmKBnBFbo6wxSPlqlUEsgsUx+n
xXXWQzuIsYpnY/Oe8fsUdyjy+bmDuLO1vhMVKVDSz8oQcdjNiyBdlXX1I4JUNsToSY/lg8YIIxzi
tg9y60MV0gpINr8sPnWjZURx4BZThcOfNYF8QFkIPaPOmAFIqkW3u1xIx4nDNV+LQ+RM4xfPE5kf
B5UI7eOyGWRw3PlBvq/XYrH224a6xn5F796+XdHxqZ+nzRLZozPkjfrQZq37uAFPx9ghcnV775W2
XdzpEK3MX9LIrOYGgYMovw/MRdpfEbSzw7tw6iprR4fN+NB1eScJCML1AXYq1HUdf7GdxF2rsjgo
06+eIxmMt95czfrYW4SbfdChIXuMgrYnrS/GvEeqqm+3pPFLn49YGApnC3/WByfP5nLvVR0KFHUW
jM+5VZjO3ezX9e+laL0Nio2ve4JaM9p3Zb3JT52x6OzaF3Cdd51fhB+C0bTqlFlaPexXd2x/+2PQ
+ACw8vWTocdJJiPJYHGb62Lx9xG/x9ltY4T/nLtanbg2/WwK40X2RnGUhovc/hii2IPkklI3jlt4
4seqp7bcDY23bTtXyq6LTa0q+4PqiyZ/xwbsq8TXjjT6pDbZbvcBmRii80UA1USu0o4Oflf5fVwO
rqPhLYsg+ACuwTD7xFdjne1bXRjLbkIJFhEyVQ2r2ksepr/rlAARaxZjpesEHYvZiYth9G9ol071
MZq2INoXZr0SNo1lpIuW4bDnpqHoC/2rcDbxTTteqRLR9GGQtqPnfJKBOQ+3pbDDAsgfBk6PQLz9
cte4PlYxyBiPDvyF0M7HbUGuKFIb2UmYc5veTUFXG1AN8NyOBGJ8+RL9thyZmw9SWub0xcoMkael
3OBkL4wbPWfvN/UW7gflz/IETvWHFGlWRDKUFoAr9nNtrf1XUyDwacQ5UKRqbyhjQtKrcbGbP+iy
rLrYBW9fPpM0on3K/UxXu8dQrz8wjJ71R98whzVRXZ8TFZEMtXZz0LSg5POt4s5z1jHiyFutsy/D
MeiB6g1DF7fgseY42ILO/B4VYdnGJ70qB3XxpYvoE0IzT4hezRyL0Fm6ZMEPgQY0flNBYtoVEUCb
eHKdWih6vYUGg0TPOmX5wzj59ZrmY7bmd/bStTeDIWW5K4Ze3lpRZdTHGm1vM7FmKZ6mkm+IzFtY
SbD1AKKSsuht2iRSj1EMANRbd/lYR8u1dgly8WaLeUsWuaivK5ImD1OzRiCmh2DJkrEpRjPO4DFd
LULMLiK8hSa4Tbb+Mk55NGIn4gsnLhe9PjST9gyKT9MWyUpI/RzNA/5M+OrIB1TPCbk1+Kh8ZxEK
qtgbXbt4V5ia0sZyq7qOK6GLaAdFYvR6Ypi23WRw7a3ea2W21U4bc2Pv10xSTFdoiMmd46zrg1qa
wUks2mlF3Ob+4iJ2ruWU0HP2bTbjNol7AVUm/6XqUi8yaaesArNOV65JPBmSEFsl2poxByIs97Jd
vPW2Cz3lXik3d+yjbJZiOXrK0t1BGJnmtwMtqVesM4Y68j/23er3FSnQqLIIkHofiNgtvSa6691W
6ruuzN2R39ZBb43tYFvdMF7dwOi/kq723Zeg79rsIasjQQw0yeNnERteNXY302xvtLLtReujlfn1
vQC6IXZBX+X6ys1CJYYd/2UUz0Muao/Od6Om3YSkZJP6Bg6McVmGZGcEh9qNxWAxQEcURBXxGtUo
+S3TGLZHGjOdsUN735k/YKHsfrL417bDBjZDxIthD0Nacw66vW2u4Y/W37osxpG7DY69EngUUEoW
KnWiLJtuZjdSH4ONNmfqBnMAi6YROB+UntLDQ6elYcaLH/yH1td40QQEiDwupaeIRAaq3XcL6TOS
hFwt084asuKntwThynkpve/2nHl9MgeReK/ISewdKAz3aPgmamSrjBi8Ud7kGtcRK7OxOXPVLfsv
Mw5OCYs1jhhQPCgnapdDo/izJszdaleBmf6NNwoelh2z0g+FOy/f9FyX9710aBMXFdz526qTLvlH
nwmPfuY89sfcVAIySQsz1c7ybNr5VuXkKapkrkyjbrI+eVUeDLF2VxBtkMSbB6w64JEa0h2iBAKD
/a5fYDjEMK0ifaAE639tm65vojEMu+NSy/krKoHRXblGGOqMExh2sgeL/4c/Ras6FlWwV5VjPDRu
MxKCcye8GvEj/VXh6Nq8D+fRfmBjOgOFgzAewTsEOSmerK6BPGSf3NqoVVxRTXzIqkyYO7cY2o88
lpvfBHkjWKYIzYfFWCMraQxL30X+YtokvGrLbvx2cb8okyyWR8lWfSxXv3V2yvEQ66B6277gmMGJ
d6JxdQ9qwE7yqg97GcRLzffZhW02PJRrPwRxNZYC1YR24m2b3HU35mybPxtXVNyz6DE+4cll/zJa
gSjkqqPybtE9N1s4TmYRy4nwk3IU3K+l7HWT9pDjw6TWnieTgorHi9eihOPnhnqLLVFYV+Fgn7pI
cygQPHOkSqLFnOzEcfUYpJUzWbdtwR5FdtvL6rhUcqsTmrJZc4xm123QGkA5O/Xs0rimnjDE3m8H
/2c+GuB8tmmoC+rpTVbcMB13yOY0kbonExubWDTKs/aKGwCOPUOIZ722C06DE0JIh8qrsie9jSW1
wlg6Xgpe3/fj1gaq5FDnCpg+uX0qpwx/fXRUaJFvIrZx09mKfxvUmynRPm4aP6m2VR62MZuXuClq
p/wwTpb5E1NGf0xEH1TNvvYWzv9AKV1yfhEy417wrZ9VEEmxaz2LJL/K/MaioPdAU7T0LZdE+9KW
uxJH7Sq2IM/Ncb40k5vIFpwxzaOJJqs/zwDUjcaFhtMr/8eUj8OScm0LxcUseyu2IrN3D23p2VXa
LH05paMXoH9StDpKjGbKVj4wbZZjXvptGVvDMIaJ74p8uF8y2d3X6GPpGK2cKLzLKHaPk6ydL4Cy
sjFuZ9UqHFUi57HMQTfT7Sm2XS5Pd4Mz2viYmuZAWm+X9MWSZQzGD76r7Dwe/dwtr5ueAWMM+dv9
iCujWo+qK6MvEG2d23IQ1ndTyUbebgXqY9ypW98lcyOd93aDX/q7svG7H6VryGa/kdU+LxuXcSL5
ib9bCDVEknUL7uaaiVNMlqiL42q3I+/TMYo2BtRsa9Q72iKKVXiSKrALl4yl2fzvXbNM4lqqBhtH
fw7dKYFn5zEsc706QNdpUWxTTL+5wnwlo/uxmdeAdg7tlgfkW6sxhmqg3tuizrb9bC7tc10t65SE
3hKRTS2ZR0/IcvOnU0XC5UbEnveUu9MvLgKrQPCwKZCYkyMvxA+XYu/1C47i9AO2XS1aI7pxdW4/
AH62HpsuMvPEnNbxiolmTtUUBOX7xvXWKe5sZMxiH91oNw49qT5ZmVs82c7gPutFR8yms649LBoN
soSSjVLcpfr1OIJRf12F26Ri3YQoahZtJzPiubU+E/vDFrPhcf7utKYhefejYOirq/ChPmlLAqXK
65+tO+v54NaR6ne8UxxRfOHbH7Ktta14WTanjo0W3feDI8kFYt7x8KMzy2aMy8kflxhYRvsxCFt9
60EYaOOGnfAwtKX8UiDF9lzkXnYkkzVmFGrrktxD+VfVvPVf5wmiSNz1EU2Cxulr+uU4oTK5DbRR
kzBW1rUuZFEcnNoW9NYGWtwx5o4LMlqRIMyV8zAXVz7u5V3CXAgcTatNKgGzbu17XQcrhj/5OA08
uGsdeRmNwL7HcbuUf2N6xM2OEVxZO321E+vcsuujfFhIA3T3RMMlMMlFxPKhJHlvsBVCnSguZ9/8
5THaFnHelTKEsSTVUw0jzI+7YaBmXYYlvB+GoUVLti6tR8cwre+RzGcrWfRg/9Qyat+XbPgt8Xp7
ug5X0QWJoclArvwRRWJ6k157jUddFCZGqd19vlLXYvpqBnNcWeHip0GXzQYJ2lyvBKeu+IqCj/zS
R1b1VZUmrQdlrsLb66ybn9SUtx+isqV/qSJf2Tuv8/xvWb5IXhrNpo3BsmM+FW7l3M7A4ObEzA1s
srZgEr/CuSUfHKmdiAO2Z37znbyjpSUmQeo09+rWR77NoFCvtltcmLc8maINXJYdtf5HS5XulV1N
1dfGQ5QrzZXnP5NurZxGo/cfVYAy4S431+oLLdzyyZLeOsIGa6cfFixXm7bCRg7k40efQ8gYQXnh
ZN4+rRYI7VjraPkMgLPWCdosPrsUHyE7FV1rkT1lNbVbp5bpUGd46aLa57nHPiiEGcuqXemJhKOR
76psOEVsvHQfemktgl6ZF/5c8l49TzDDVNyEIb4vjqZZngQoFX2AxBrIZFV9/9NURN2UbeU9r4Tl
z8DE28+Fp2y6D4VHBpEZLQFUyr4bkqCojDndHAv3qDYo+dXVoMyQJgTTOvQEo8nYLZHfn67CsLvq
pplQMI9O8RAZAi1LP9DzrppQjkwmt+ASmimIni1NEgWrs/Gu6rHG95cyx/2sS4A7915FYZhwYeuA
46FrFNR1LhfEW1GovDKLYrHfNW7AHtomDCeTfJ69B8aeaFE5Y16Ex4FuL9Vd67v5tUOTUaY6L+V1
5yzTtK9NQ0exVZvekoz+1FlJiC8Gk4vF9afYVn7wA/DFwGdZs9GmZdMgg2fRYj5EpTU7iWCugZBO
lVc3EoM0484pqfJ3kxMZXRxqh75NJDwXtEPlWGTlU9jSE1dl/zhPZlXsxtZddKzraMwf6N2L79pG
rRsGTaXf6dqzgNJtjf9QN50UV5Jb/kPb5hNshZzkP4Xa3o6xgsWmYLMvpKuN1bpDgn2AddBqLGXa
r1P9OOiAUnVcApL5jKxjAKnjR3ctCtjoiWo930Poo08UwTfeYnv0udc86QU9ybOzVXGt5r6LLbqN
j3YzG/kxUmX5jXyIOtDIugBB8YimDAzPWhGQmEm/F43TfitCN/s0rsvsn7rICMNr5hJhMpdUNMmm
lHcdNFU3JbXoGYpFKGa38UKCVh+W2guXq5ZO3Td8ktz3wgiqIum57aNYcPblzpwta8RPOhvvhLME
qF/RfLFiNEfosDWhZ3xbKC8e8s3TH/tprd61VUdy1YRt+JFjxUfqwqy6aeeM6h6GVGh/MCPDKK7w
wnXA5+quOdUV/sTfMaYbJZi3rJZEqkFpl5rQpYgoJ7K41aOq3GXhBGIPl+CuTJgTeQdXTDYmT03l
tlyRfvue6NG8axu5lNwKEKh2Q+ZZqeP1jUMfa7LuSN8mjhKEKi+8HTp6pLcDNRuagEh6Hb15md57
s7V+H5tRF9eRVoRBMSr7qGo/D5L5ZH2StJkXPhu9Zz0IQg1HuBO6SmWwRJ8Q2rHowxZN8G3NekCG
c6RDNlg2Bo+VGpoSFwofhl5TD10QFxF6NXFYdUF+KGZ7tPZmSD+A260XAC4bWWf08zxRxc4QjOqU
xoYH2dK+2y1lb30cXVd+8sTo3mNHu+KsNZh0fluxrAdwCS5zKKcpO9RAjQhlrSjPvw56zNQRPKzA
FSeSP9cCUkTcbwEFEVwCs96HQybN1G8i76HRI4cjX0qGOL5wFxqb5JrmbvLz7n3AWOy3a/dTiQIx
iRCRnT5rHIoaYILchPckXV0+YWTXCywKyvEo8HCsbttmpNK0uQIoXfxguab1htL2IAJVvG+cE8HN
a4b2Asj0NYAiAqp4okWR9DIGPwNIZWY/9Eh6M44eXVKvKDf3nakszCVz72Mp1PLp71PoNzCSLOhi
4BCeZDbRHns5NFVSIzqADQdGms1672RqSSpF6BQKV63MqminUVRc1VLNu9yYov1Yl5fEld8Qt+NH
gI08AdZPwmtn4BQ2u4bfn9egu7PhZmOPPI6Rrn4VWxfoFF11MslcoJIdT1vO/QPfqxc7DwG+axRV
6ND+/aW8xsowYAVQhY8ZHUH4uS/fibatts57vD7hVze3lPDtx96piwug29djXMZCwObDE4cEXenz
N7+6irnIVqemQEqOqeVMAPC9G9Fs+eFfHwjkDyx/F3AOWfD5rsoZjvZSRE0aySmKx7ybb5hymBfm
728AYk6sVPQJAONgvXja23+A39pab0641DyQGogBdSCf260fPnqZDxN1w9duMPrl8e+P9tZbZMDh
WYB8T14Epz//Y1H60TO4qbBOt7yfkzZcnKMbtdle5W1zAVH45lkBbnciooPceEVCMDBE20DQN6mb
i8/dCJTXmSaVMMlrbjHiyI42gol7RC/V59bZhkRKu72kKPp6b7Ip//gNZ3tT2IZwZh3xvAviQaRT
srnNDWn/O8Dh5MWOWjNAA0RUzuKQGWCJvNILSVmLtoQyyyf6xJjObpP7xDCGdKCspvwbmJpLEspv
hUBe8EnBD+NnhGhfflFIkRvxqGzSRrrjbRH0YCjXfABVgJqfNhgg/30HvbkeMjw+uGnkVewT1uOP
HVR0cPMNOaBCa8o1pVM/J55R+fvJYxg3nmR5/77eG5xUPiGaNCdv1IDQe/rEfywIQ1OYqyebNKtl
l19VKyslre1lt+vsl/fD4ugPSjGea/C2wbd5ZmrsVMbmx7Y7haloa++6Hiv7y99/15s7C3UzZD0R
I/fPZfDGxnOKDJ3JFIPl6rsxQik3kHqO/77Km28bk23Q2wBnqMlfPnw+LpoK0AZVttEDKCKjfais
mck0Vd7dQFZxIZa/EZRweiHQIvJEg/gcFJ/7fe9NlAQppqjRlT2Oes9Y06NrBubLzLT3fguGdvrX
pzz5HqDuh14POsr2uVTp1leWS9bapKrpsufAK6vPkKLW+85atqvVhZB74TFfx6b/VoRTjRsSwMBz
1mheIwZQrHmbBp4uEeL13I+ujGidhVuQFGC8k0ayvddV07azAiAUNXiYv3/bV6io029AMdUHPQsu
8hxyrYfJLcvVYGObgY+U1RZeV+6J6TbRb2+ksPeh2YVJ2cvxXyXlWBmGBq8cnQd+wNmuYozm6KxU
aJPjun0cdS9SgCgq7tYZb6jJvSQR/moXn9aDsIUtPXHqVdbEDbqKdatbvG/s8keY+53cBZRRTxt6
q31ib8MlV41X+5gVT9Tjk0UKeK5zkYWljhgCgvKGxjLhRxf46mHKAacU2PDcAG0I7sFPBBdCwqvL
9bQoMPgAXSZwtud+3MU4NSFicG06dmETR9EGN5LJJThBeSlFeev5Ttc3q5zwCq9F1w3bZUrSpEVg
yj72jLqvj8iGWWHsbKY+UDhU3xte7uHve/a/g/ECTcczIikMhJ6DimzQ2dZpJ4AkwIG61IAy9kFT
xtITi3AEl+XsIJKGXu1nen1l2nci/AIeuWHaNGXiNgeLxUgCYFeag+d4zHMrC2NpM/D8f0QTqFKn
HJExxCvyL7mnM+V+1qZh1zZHg2ZaCu64O4QRvZ98W6eHv7+Tt3Y3/VSw9qRzp2v4ZYwWUa9rlyo/
7eZ+TbxV5vvFyN0bNOsqtK/KS7zY/zbv+TfgNjwR3iA08D8vF+z8mklorbs0m13azma2vSO5EMtN
hoHVQ7D6m06HNXe+acMO7kuzqd/59jRkcT1s7vtOAXr/91eO0ibhm5sqQrjmtF3/uKMn3fWTarIu
xQW3TiPVdkf6LnmKMJe1D0A7XIjfb5w0C/kNTCowBILVdJZv0a1wGmHOvPLSKY7joJ+81RdpiGLO
/u8f99U1TzoHL54yC2E3qABnK21ulrvCZlpSkiyr2DcL5xmlvEsCh6/vgtP+QYWLT3qCN59VN2LG
twXvrz6tms7cg/BBXNpxjOtwk0gueuAz+ixwrqgYLqlTva4mTzQRwLlEEuhhyH6+/HY4oEdtMDt9
6jCJpHyuwGQEQb7T6FlNaTe6/pVu5zG1c/IcV0fdQ96P6isV0iXT3ddfFXNEB0C75VmcpHON7Wqm
jDTBYyAQEGZHY5mX3xGMnXez9vrxwo59cy3ySop4Gv4oPL58amaOIfhn1gp7U8dycRDdtcotXta1
Sv++hd5aClJlhJm4BQT5XF+tGb2u3UKvT81VuTu2mLyys/pTZfXlhej8erOeTiHUS7SEEaw8j0SM
ShxwrhGfcqk2FdMVBhKaK9GJC2/vFZWEPYOmvMXrww2M++Dl24Mt1s/uWOIkNayflfY/GrAfdttU
qtTz8Z/eHNpPwQl70Bt9deFIvvU+eURaHycNHi7cl4ur1nTWfOMpZ0NG+4EJzRVgpOJYDVt3YanX
1+x/roA4l3P+ySXOnhPWgdWBjhnSoPT0Xnam/24lc0rNIOvA1VAjeYzaouFCr+PNMxkwN/u/dc9o
ALbf52aFxSoIMmLC3E/iqq5Da283ndo3uFHuEDocruoyirhh9PC4uUP4o8Gz+lJkf+NlU+jRISIn
pBlyzqDZXIHgcNUMWICMfgIi3bwOaqi5/RBdosq9sXvZsmxfdJt9Pu3Zy64xR8ipz4d0Zai6o9uk
b1ra29//+TSe1BdOxFEWou/ycvegQWpxP/ZDimdXc+imNU9xrrPjpbGWC7fU68QAcjEVDdUbDDJC
7MulWpTzRNjbnJJeDmko8egUymmeFw5VHC4o5Fw4lm8uiAW0yTPYEI7PruE8XCzwIMHAlAk5xxk2
9U5W3i/QBLAPvEpeOB1v7Q2CJ6piyMcAaz67G3FjzvGAaRUaCcJJisYzY2QNzWTlpV44EW/tDQ8b
V5iG3A5oAL98lcClg0VGuGUMvO331owD2C7yS0hdf98db61DVk3dgGqLj5bYy3Xwh+vyqhJI8Oow
TKNM30MEueSb9tZ7+88lk2MVQDA8W2SkoDVENg/pnEfIxTIs2Itg3HZewzn/+/O8EcCw8jp5VpBa
8GBngURZ3v9wdl5NknLnlv4rJ757NHhz4kgXQLrKLG/a3BDVDjZmYzawgV8/T0qakbqlOD1zbr5Q
q0xWkpjXrPWscR6WjjQ417nG/oLay4RC4zKL5Rb2vJ9MYv7/RkNy2uMrYr54ncAGvyaXEbVVdHOp
1c5q6NyjQQ9HbCoP3aqs3zzw/s2R5D5ghtcoZeqnX3EBFq5CqSOpdmFJ7IeuiLgrsQ0nOmTp9t8f
yX9zZnAYIQMFVzYBhsKfzwx1tXxTP6ldTZjLA1uoIHZHb/7Nef5vrmAeaxaFCVPTyPs129OXQL+W
zeU8r6t1VxZtcZTs3shaYO3HKPl/UAZhCGUcDFWWm+GvDlQ7U45Vr9O4awsc3xMRsXEvKQPLplj+
NnT4X1+X/8y/tw9/a1DUX/6Lf39tu5V9eDH+8s+/3IqvQ6vaH+N/XX/s/37bzz/0l/vuu3weh+/f
x9v37tfv/OkH+f1/f/30fXz/6R87OYpxfZy+D+vTd8Xg8a8vwl96/c7/1y/+x/e//paXtfv+5z++
tpMcr7+NBYP84+9fOn378x9Mrv7pXLr+/r9/8e694edepRi/f/uPs5D5t7b5lx/8/q7GP/9h/em6
DKB7uo5KWHBcG2/9/foVI/wTwW42H25w5Z5SP3IRy3YYiz//4Zt/AoZ6NfDx+QEjcLn+VTtdv+RG
fMnh2rgCJyD5e3/8nwPw00f1j4/uP+TUPLRCjop3dL2V/6PlvNY+INYwK4OO49Fs//ps3kC6u6Eg
3GxfPje3XXyXHM+P5/RHlB5/xxNievovL8bokawd/nIOBW/u50sNlGuxWZNVJKyd1h79RzsE4V7D
ep9jIvsi40DaY4TOO1dtWhG18mY1vdiHRueeajMLxN2m8/BHVrXWj0XJ9sYQfn5a6zXYL00gXsKc
znFRbU3dtG3LIZB993DNYT77q+1+lLofDhjzXXTY+LUY4nir+Vkso/jsW2UgEt0Z/gdnrAHB4iSy
CRZfln5O+xojQdyLENMmIdbus66Q899XkcTNMG7lKNHUkBeR5s7czacob3xr31Rl+NGeQkOm7UiT
vkPVueEDR/L8Hemzr49j7iGdyTLDdZjSmdaCIMIsAxQotFDJYCnN7H/uu34PNnnxTkbA2PvJjgqk
zJmwlgU1NEKzRMykxN2YgVFz+DA44nFyUPsSLhm9opbDEuLXfX5kgbHyEtHSfCrarb7XPU/JeNWh
MR8lWqdks0Nooh2mAhE33TrfMrnNykRveV0ldVMvwaFx3GxHGkyBplbnwaVEv9Rey2WEM0s2+/ae
IbMizxLh8LdxgwIX152/epRjbTA8FDqzxhMjbgQvrgzAtgpjrZ9bRD6AhLpF7BbZVrf2ysA99lC0
UBiDWkM+J1z5CWGB6G6GqNNegsgKTalanS+obvzwsY70OuwRsfAHewrbhbvRGF/xnVrGI4+t+2BD
MPyytQsc4ybqZL9DxBKp09iN5hckvesB16QUsbeW1DzsWgN9Hsoh/MSYgITOMsv1wdzUmh95Yjmv
sHRFn5RNOz7OunMGVCu+eInGYLDiwDbkV7Re+hvjqv5ju2rz1g1qcUQQGpwno2oM9IZzQJpRNIdN
XJj+doqoHV4qkOdP0TL3U6pXEZC9VfRnFzcf8qU6sJ+7GnNO1tvrtkNFiy5B6bx6a62hfyDHqvYh
TWl1DMsZcrLKS+Qncpuzd68Ry1eo4ypMgP9sh6ltzSx2AkYTaXmVJu2mkkjQBDFEloTGKt+brayO
oIGct96aIi+tw6z9jjhDgREsA2RARdtsuCh18J4Xng31z8raRzF43WEIPZtQOJLI7/tIYlI0K3Mr
41lEJDxMZh7kO/TYOk8mJ2NmbFj2dChKQ+4Hvejba5H4UPmoOffaQ8qA7U7I21B5ZHMhi8YFsZl5
55381oNkvlSruZdctl/81aryuGpm63dY31/qg2sUEvkNETfo686YWdjPN63GqkbTHX0rroe0Nc2j
P+THf3pq/P2m/M834X/7CixmqH7xwPO8/vkVFFDbYap4hX6Ihy04mvnvcgx+9wq/3HijbtJO0/EK
DTpS3kMwqv/Je6DkZfeAhOJfuJYWQiNOF8/CJYJ0FkFe+bvi2r4WYv94VAEcZeQLLcejH4FjC9rp
58OEU63onTLjPBhRiN0WU2c+k8sZfhA5lp6zOeBv552RCWpXxNhIV2Q7uwvqW4tslT4NHVX6+36Z
mg9LT6eaKNaP28fBms3m2OOnsQ6ZJ8zlYhomFiSrRhv1mybk5yLwikxlCgbvi6RaFsJ0Cj+/g76t
4A/0gRVHm3Uxx29oym/c1ty12v3NK/1cP//tlSAzexTPaEn4Hz+/kuFaqjBrw4rttXvJwqE8z8H2
CB7kd/km//6F6AqYyEP8+VV3sNXSbzDvgaSf/LQRA4pNlJKR/vjfXyL/euQYi0O+oUbns/+Xi3DB
wIp+b7Vj08cBNZttUsvw0yL9o6Gr37zWz63V9dhB+7jG5PAfkg9/7T1EUI1o1qQTT8jtZLnHdB8v
8MNsdS6C33TavwyE/vpivCkkNlfhxlVh8PMHVfm4csKlcHGIOEntv5lOyjOCdTBm/Pdgfhrym7C5
OOp3QURXCDG/+qfrCZkRb5BVN/sN0/v1bNRuN+QdNrK4t73pJbDm0o/XgRE18pEpv6f/WpykXevg
m10b9U1ORNKTA6T/Ck3s3dQdCKY98qAX92ULGiKp/E4WSdFmWJd9bzI+dngfDrPXmU1i80g8l9bU
va4Ras7Yw+j/kq3C+pRtKvqchXh6sQA0dHe212citfx66tGET7i6hOPrNb06S4ykjK6+hG4bTySR
8N29r+cvdaclMW65rV/9LlyCZOgtzNyeCp+8CV3jUw5VQOICcbflpjEz0znnnTa/kIsoHuoqU1ts
OARRJdonWs/sAkJxHcR+T86Uf+f5QJD0Ykp8hPkSdWGcr2O3pdc4nGetfGFjdEXlfxNhYH4mInho
T0vnYaLtDPVNrPn44MmiPTUoZnAsIqdygcb2oBRYU6eqI0btME++c+u4WuHgozgxSSIKWzMO59Zw
0xE8jblfWgvtujBqHAMT+rx0XKtmue+2HjhyZvfNbTOs83tGAO65z3snLfrefIywzDxYg90SXuP6
l3CDh2HMlFMwIaayTCEVt/dIulmvzDNC7Od8qXHOln2v8IRUql1ulaFydFK+mo08sRDG+Umpxmo6
YCEBtNtUQbCmTtnq504GeZEoEVafoo24eO53R69dsn0RDs4jhWH0rCX38AOu6n3doM80JyPmtHOC
NwOQz8UYWLklTTbll05UUt/wYdp71QdLuoTZfDO1+drE5pAj53a7Ur5orpodg2h/2UvCSNzLFFUz
/nxWGt5lzDWGoNA33jp7YxkZTZPazT4TC85qfygeKB6u+umyD/cYqjtMQaIdbqcRf74CbVFhEhrE
ySZ6sn2axtXs9ku2RtO54VDeR0XYn3QW8fCQctXrS8W54xw0v87HQmA1FbVK3TP7ehldgWfXhoIw
jNJPF9XpFWtly7kcC7sN9/naIgKhQtR7xQq7vun1XJQHr591bcctbG37Xle5Kr/OJvodkseBpx/B
ftT6mQF3+a7wo7RnwLDBiVwZWaE3b2s/WZvIe/EZ8orL6EjVxpFYGw+e61B+7rex7MbUnVQENpyn
+sGlJ8PvVI41xhALV/8VTuMj26e+/IBReXD3Ai9fiqZ73Et3jZ4LcIB7b3XxqEDdGt/t2i32rkHq
kLHq4WGBrET57HY/bEsTbW829l6URkjI/TC9s5/R2L0EIJJlqUOcjwg1Bkji/cQ6f8pmaLOh8aoy
fPaxxEIECyKfim/tFIVP2C6FAa5ebh8Gx9F1DOlhe48KIEWJl5lyH+jZu1F2h+eaOBNUTCobP+Jx
CN/XtbdkHCyTczD8cXyY4ZVgmfIEKu+hb24wOlnGe6AKx8IyKYzdBHGtwtWdLXXa2Utu7BjUFjop
uMnNh2qr1cXd1g8te9F3ZPHyYsly+1oKPwsPummidkcrzALZbQpTH/CWovlHyixeVxguDkJyYzgQ
rWYMKaMjF94aeUc/9EgkbdXhf3gCVTH4BzPqau9sTnKx70GUEhtkOQT5pJU3jNvFc4Vps5PJVzPB
5hb1R0MMm4mQWS6PdJi6vx3IN5jemsnTjFh7s3Z7kY6ic1NTiuFqArGNfVYW5gLmzV5e+LtlymZT
v5tAt7tPI90SbA+XW4f0deHvxxmNy9kpsbMeC4NiDGddOR9kb+mDnWmrP2CCar/5rVuzMirt4abp
B0MnhNJuu6COhBvPoFaeChOOxx4am3iFd+G9ymlBQF7K7ibqrAJjHtamtA/H9S3sHH+7WEqYt8a6
LdNLP5iVnQgh5cNolMVhYhD2RaOVEPEUdYW996utc3ZmCwnmtQ5Hkcgl7871kA/BsR3hYJ36zGJe
i29kQ98ntrXTz/R+5XZTY6No98G42e5DMLqq+ThmAKL2roCs8+ibPvrOZjIh1jSt9bkm80OmofB6
90FTP16ukZyPdGCbC5Bc22gidV6k6N/zO8uVPtTmCaf35nernYTXAN0yFqPBw65fFz9/BwHmDXeB
O60S7d26hPtyAkZxXFAi2G8jkBAaLV8v5wAC4LFVLLNu19ly8msbPpxW22ifm26OOq4crFZnwgW9
OQ3NNnpgvWtHZD6sDZFiGG7zhKhpxOjWmE/QW7JB9Vd/CzuGJCceco8X9Mp6McOtOhve1eNZMr94
miOuluNckXt35NkwHD0GL80d2yN1EGbufQDOUiAhYeiAr86ax+NGZMeH3NDbx40bQLDPkd0DeQnX
kni6cj71tW9xlfhsiwgRLyw4RsP0MG5iDi5sphYrcec1t/aVWojmadfIeXLHTXJkF33oFFcfVnrg
MdmaiWenUiYtQebs/NLOdtsU4oZZqSoOUIpWEVvlQjlCkhomTq/wuIMFm9Ueim0D1lRjIDwN5mxZ
lyryNSEAVpvJJ7d1g25XTbP5jAzdkAcV8bljyRqi4M5z1vzJoEmRe91t7utWFE/cpq0SG9SMdRqc
zlR+ZAUR6bvGqMskULK/g+buhheRK5Mx0VAP07m16aL2tl8yJBilc/XwmMPKw9QMfcYypZFka7nc
4JTB1L9RWi3VWDefjaWuue7mUDPTURqAHPFNXR1b1eLunJ4B6BfD6K1do5FmMajqzKProWO5NJhU
vKMIHaPCe46Bh8ozvzp1jKhfGdlYntJxlr3TyZNiY7m6fNOjJXiMDXUU3vnWVjZnnHGRTFDy2x1e
QJmfAEfyK4Z58z5ukckcIszH9jBbAB+41w6VdYSgJ7xTvk2VvFFVVaZhrwGAO42q8icr26Y5ZcJX
9UkIZiltDJmDy/A3KqhufQkVnv9n0/MSS4jyBkrHkEpmM6nOnWOP+e+ucLfqkOmo2Odj3SeZ5ef7
nKsfyNVkunzCy3Jc4LXtauQCW9rmfnipMG+rH4Sz4Z+c8UzqXngHVRuG5FlblWMcZKqZH+dG99Uu
m2HzQc8Kxrsikuanpl/wSFXkluwMXFfnRuGXwu4UuZBeAnNZ99pXbv1RMz8p4r5tbIXPeLUu9qig
aGB8nS/mOrb2bVS5CNqWKaq/lDxcKQyMKD/Jyq+uLhntn5dZ+w9ltjUPQIDb8F1Xc56/RabsUhuw
XckjzQ8+ZXk27AuHsKO61ZpiwjA/GQtSvoRJtHpcHBurWdMo/2w3VsjQAXTHLop0YyR9WYSIFDOY
XgUb+QXPGuXivm27Rd64m5F9aWxsuVZjS+MTbdQE8kh0K3Z7WYTBNVEOIj3Hfn0f4Yau3+wAiNoX
a2hBL00BWLXUrMXQPOMR4xYygoJIpiEqqLUY46bQBawmZdYX7WynXTFzzUuRLLZyXqa1oU9oOnO9
WRkSnowr1wrjamaEF54Yc1IXUY7nCuTJD+lWVNBMNuOlrE5rVZ2nqYnlKh13JyO/UOm6DQayY3QM
AVFVxxLc6f0izPqFXfxIKf9XiJiIZi4AEzFyc49vikm1RfT4hmF6gmIDGAYD/FBtwaO2y96J9abC
u7BHtk2X4d1N5koP5TbTj1p49SuXXHgIuio8q6iz90aojB9WzpWFxa5dT9rEMnbjZUVvnrcFjhhG
EJl/9d1uAuu5dcbr5FRQn5AsZUBtSwuvOjWqubc2sS7piktqfuvQcdGFRWUYVwvOvsEzVBnTZg3X
3JvqompyWHfsBKSVYL22D9mwZNtJbNuKnQ59m0gs1ZiHRsseP1Q96/Jk+DqwT0PZ5/IS1jAPYo+T
9qMYAnnFFaAV32Hib+WlmuD+tAWm8xO3xeJEU5XVSa0cOLJWqdevPA1K/HVb44h4KUz7Ju+vfZeA
hWEpCfXLr0EelfmIicHsfHXsyrzQT+HigpUYUJk+rCAPvvQY72/ZenmHLACRCeT36leGRNZegH3p
j+bMejQO5KInO5WTP3LbzMcl2OmtLvsL+KsiuMFFWzYvuKsZT5J+Dgihd7rqo0NTXMHjauYncGvO
o7Fk6nMIJW7ZFYu/nfPCHM9kb7mQqW3IeLnbmPJ209rEYy/GoXjyM+SkPCZdAQxnMtazMWND3vWu
udxVwSiPyp0Hfe1NqiXOe58cT9I3vnZwZ+4NY5DqxNSx+gKtpx/jOUuJyIi6/bZaWXXrkezyCXg1
Mdz2ODiYyMQVcE5cyIcSFBI2eR670OqY0ddxj0+INobnDyhWZYPu8Ich9Vu/5xGggu7ilKALTmVE
HT+CyHvGdFmna43diRQXEiyqedyvS1k/dVhod6bZB7vJCR0Za2mGhwhx4meAKd5Lt3ZEHsosxOEy
1uKxxQH7BjGt+yI3s7r3mEXt6sVX6DSBDHyyhy5gQGf159AWw12xXZkAS5ejtXQLPX+I/E78qFs8
zKxgImLh3SvycEZmxQc1LAfX4pmYSl+M92vr2mAkMJu8thjubwpVCJLuQnvbc8l5wAjAjiaN9r9i
kTZuK2brJfZjUz5SkrafptkiWEjw5uNmAyGVuE4GJELi3V7jecRAGrMUsk8OCsyDPy/qUomqvnBG
X/2zbrnnT+8fHbu1XrRbP2eSMsFjuhGjXzQh/pLUCLzc7Lcf3GiIiol05O4zv9CnlfodgsUm5Qc1
TF1x4Le5dxXkpu7KIYJSMrfOV0RaFSESfXvSWwD8Ap2QtuBf0YtkcJs/hX1jHNulY0ZlLGoqEkcZ
PDIw3m7LLnALGFukKKu0537wBn802tt0kh/9YnTbk60MzH5V78sbYXdhGtWYpuM596tHQ4TLJ6ih
zZPfWzhfjXw51yxrLnrIAFQ4iH3u4H02x3l1qqchG4OdyUIpkUHd3o9KREe/ioAAhDTvsaLfa1J/
9PXnafKadAxsSHLlwueVchJ4075AFhXsOtOIDmh8LCPWC39AInqZvfb+Eh42nOopCAqL7d9K/d3b
5bkQajvmLAlOA1ltGYwaZ0ylntVNs7rLS8Qq57FA3tLE2lsyfydE08GV84wNqojrPE+19g8AFhZJ
Xu7cyKQXa3Vs7YyJBXlnmOgnhelnsvTe0gYPnmBtMxHzf89V2gDYSNzBXHGZwqqhTVcl7xdd7PJo
2GFBm9wPF4zjYxp2rA8J5hMHT3Nf86y1g1YKXRt6V9Q0b/Va2tWh4v6xxpZX53tEdsTeXj1zSYDA
9yItFDJQywbve66qdseTXn6eAFiM8LaeMkSz8y3oRi+9Fs+v4VoFz83UNhNlazBVX7cw6j6sg+HO
e2MLzfqBw8Hls6CRCkCGEoQ4Ajvjv1tj3OPPR9Wrr7NB6oAlNA+u3QbrUZSjuV5kbnnvrXAhaJG2
3KYDElZvLwCfwUsZanuH5R+gXGT1QZkUQ1bt+2LmcQRX4+uc+dMOiOyDa5V5n6iOTiq2EGxepplL
hyw4O5m5ph6UxK/rr0ym1sbGUD7axfYxkpn7ETyJfmIIRi8ZAZs6h1xdFuNKBapR9hUtdDHZLOM2
FjY7LTbxnAGo2w+OCHaRJTOx79hLl1DqOAl20OHIZAuDovcSQ1jBBdqeUSehM+SPPjZjN+7YxFP9
cubFNGLL/JxtQ9y9GRcWeWVzMK3OPKmWJf++qmjU1MWsCWKJGuPbuE7Zhkt2Nb9nk29YOyNrIApZ
uth72bCd9RC0bCZhMhZHLQf1HriNezAD6LT91ArY56PFS2vlYLA1zHl4tI3Oul9qPrioMqddFTU6
NRuhqYesMbtzgaj0cd+Tsp6YUm3eLTDAl7ab3oNwmG+30F6f3DkSF1BcG3dZi9XajXcoHitOv+Oa
AUoDPEY9fggGb/q4YYkObsyxWbjbtn17y0x+pTxsaZoW6CInK6SPpX/q/Td6Q8CcodQ7ckOW+Zgj
2vjWUVSOMQj7Jp07Tg34BaQIhUynAFpb7sj4pJrfRurgL3Xr8zkM5AoBER+dok6LsMWzE5j0ZLe4
02V0BDopwKx2ywRdxZb9bQETptxTsrlOUm6rfI0aq7BSwQj8filmhNzD5HDj6GE15jgZ+jm4c5y6
3YfzSKI2YhbAPZIl7Rd70qBIiA2ZTnZRq+iQUeu/A2jyD8idqncDmXGXBtq2brKtXMw9zcOqD6KP
7rksSVRjclDgZY49sXjZKRom19tHStQS2zhNwj6gHrrtKmKK4zzrorTs8uFjJ4AIDUqxBK+jJvsw
0PJEiT2F8ItaPrI3nyEsoJutVM6T07IszmagG37D3783tdFk6VCGlE3ObCtCBSFAQorBw20cHe0P
t1m+ht8YaH5v7eYxgzroxWoJ7fvVEy2sS1bxAKKJg352RnciqcAWPxykSR11AnyoXWgAT5MBzBko
voDTLmtZAWnKDChpca88DPq5T5Rk3oWNmdD2LG9uht4ChF1VnlHxz4yUptpyTvbWmdMBZOEEfEer
odkRywATdHKnqws/b4ZyXxoF6uzBathPjqYxZy9LrYYxheqxzXsWzNkasxDMbsM8CqpYia5ShwoM
0cUQSAghEeZrdCwa5vt3BSYe2GmDtwCxDVfx1WI4DiPewLlcurL3QAjla3AEo1caB3Qq/jsSB0vH
HZWTn0Z5PR3wl2zVYw7d4eVqypiTiTP7AjmJvyPocrM6RboyjGTwGLJA+Cs6v3wA8WAEKTP7idE/
hwwIher1e1MobSe90/fvM2O67dtIo1U/zNS9J7K77OUoEQyMseps+9HKW79KQfVZL7Ak7fKYu46l
jlHrZMk4Siy3htHcD5mvnier8pib96b1fYM3ub/qXI0YpGTDDH5xuikx/aK81Bz3/eIMPhNoy9xT
m4hbdx6z7VAb+fCocns6aqQEtFFDtN2PJD48UNbpO7z9uBCvIBcGCmbAdwFN+ibXyRyg13i4CdjV
5jC0ZOktB7NttAtNE1tq4avsTTqhCcJBDuEF2Uy70gkzhX+abC7sRHASvzWbpGTMt8KgNADS9zZM
K9K4CuxFsdtmaBCIJJifxhOUlDcxMA7g3uwDx65rsoxBWF3yEZzrGlQAuyWmZNq45Z0Xq7Idop/+
2diM4bVuOo/NGk+s7y586oe6KcNUcq8YDzNeyV3t+yN9cKiK5twyLnwe183V4L0qx74Ib4p+1COd
a2xmkwVVK1NKHxwTF/c+CnIXat/WhcAUxqg+gktA+9KCFDnJpnINDs3cHqq86j813urdZpPRncxo
1M+mY8JLKusZ9sj3qOuMx8ZQw76Mvgl4QJE3WCmLTiYHCwVonfjSBMXjY1X/riwd9URFlYCvpMxK
51wVTfGhzIpu2ImppjUzB85ndsrQLaIcd1z9klle1aaOXxBErHPV8Sm2KEjGZaLR6MpzU8CyU60f
IFNR63ReJYOQi5m5Ub53I3h1N92oxw7QnpSsDPio766hGfNOTjPWiiirZjse7M3Iz2RAsSFs5DZe
3CxjwMcnLpif0VLU96B8zbiTLIYAsZcFCVS6yBnQr2ytUJQM3dFkZ/jUXx+6+Rhy5vlRVw3kDK3R
ZxZ9Ftw9aQ8i5kx1d2IAd06HDwoayKW8nwNJJVgxd+RQ0b3tF2aj1aEMap4LYFtpz7QY1pKMqzn4
aFW2OBuahGaQVuNkxd7i9HYiC+smj0ot0ka3vR1X7CO+4OiQYj8MeHY+dB07i5jkl0Ichs7hYTuI
oN3NRgYolCMaPXZ63s5FVC7Vo2Q9xzsLx7x+sEYvfCQndZQ3dbmSQtvIwHjdVGfem3m+9bHZMDby
oMKDmDc3MH+b7dsUOpG/3DbdFnxwzOsoPDdG3945svYvnEs4/DuBsWgdJ3mzjJb7hYqTI4THo/ur
Ove1VdPGPqd2RujajQq2g92E4ZiWeV7aLz2lmJXYBL21DBa3idebDEhCXNo+WwIfDKUfYoKOa382
3tps6Y9lwCM1BkK3fuGDs25FoMrqc8XbjuEx2cYzS9Ga5cpM1iiDu8B51mNoXIeOmUorSzEQ8MqB
fCp2T/MJzk9eEfnXdcMhV972UnpirtNaL8vrCIY5xWLqXFbG1Y9s0cvPEon/ER0n0V4BVrnqWAwS
Fdji2Tu0g8womwxUyc6tVfksYeJCVe+qdksZTETPDRS+8bYeyTl+GtsMonoT1hu98Rxa6x4JQ1fv
iUuCBKtlDlalGgP/B147sz6NuhtZ1jTcHxMnqtWpmKghvnQsceAjQw0snlTWVJpTFlZOsq4uI30v
HPTrPJfgEbNFyFell4gaWYVM0dmuGwaoQsbmeyIwjOJxzMaO1Zeo1CeAL82pM7fi6Bat04JWrbc3
oRwX3eNSPQMvZa7kZjoz+Ox8cP3MOYC2l71YhoRxTGdeRoIOxV3lGYX5VBSgaeOScys4ezyyT02z
WuKmZMtMT1pw9OM1tKd35KLjnVXpHkGXivxHYXMfTjQ+yIcQ4MuzQ9vvxgDtOnGTjX73CMd7maCL
gVEDvpV/8imEVDwvGbPGEksdDY5a3/sqhIQ25UrMSQ5eTyc2z+3lbGy5mBILo49KCSoQDw7E7u1U
e1nffui3Ut/VwjfpxqFifpAmCoTYtNT4Mnr+8LL6gcMa2O8Mhv2ixVHXD0W6RYYNoNuZIBavGz1E
0vSVzTCpm5oLA736kb/dsFLXtUb3a7VOw3mGQvRg+RQmtttvb12/FrctMUWpw8o9tbZ6vvEZm5h8
nGwO/NgDap8fVh9KUbw6dTjIuK/L4IqTG9l8BuZgPwLRs7+5Zgf4t8C7ta9qRJ2fBDUgs88VXQRE
wDGAUiQYq3klfIfFDj5b3RSeHWK8GasPZp9GsFergx5MARsQqPQelpr5OLf2fLCFT956I1b3NVM1
d9gZsNchGMkqO070xGwtG2UdbXjDEyjqaMR8p/No57Gc+MEjy0K42g1hmnll/a6mYbhFWlg8tEuF
qpDTSoICZf7XpqQIQ6eTCGanp97u7QclJrEXzbzcmZFpf7SG0br4i+VhDOZXAfuDYyaF8podqeYy
rW3d7VfVrpwlrmziWZv+vHNmowxvWP0sH5gUyT2Vs7nFzdqN58Ep8tvA64I3c4KmvQz2dNfpKTqK
vGLfWbODpl+xcgb4LMYkNSmL/29cS9lu7lT0UA7EvZp1xh+U+84e0Jl574CSZ5BTj2HacDv5MJkU
9yan5g5NY7jEY1bYzY8sp/a7CI3W8QZEvCrSrOZ+fKRIRwFbaMItap01z6Wl9GdHilzGDEYBBoJS
GpyHQmSdOqLjkzegHfwj0SD+FHv10nJGm0bztKJvYJ1Z9uV30862T7by2IyYbNqGI+PK9bXfAEPf
FmwAORZu02XkDUwobnWEOdXhMjxkppsNqTOWAyEMRlU/5XnI1AEhi/WkmWFSSTF1g3z+v0k7s+W2
saVLv1AjAvNwC4CkKGqWLcm+QbgkG/M84+n7g073XyLIJsKnz3G5XFEuJ/aUO3fmyrXkDmJDgbKn
lTYJCiChYn5PJy/XNnrXGuWmjiC4d7s0bd00gkJ570G8GLhpaxTClogCXruEGuEVdAVT8m0Mp8Hu
hLS/kYnrLHuM8XLbnCvtAO6vlXZQpGQPmkmQM3oIepN5lWqf543oEbfMC7f1aoLqe/Kcpv+zm0qZ
g1Jpc3GLKoLrp51/24Y1YGllzJruRc8Jsyx/rNFwLgVt2LfypJJ1NkmkccSRVZkE+MkN3KTg1BDt
2QEl3Slpuo0+wlgdJ/GDN8CPdg2/dvwUtBlleZbiQOPO9J1qu1/fhaLkReQPITWk/ul/K4SQc9W3
0Z0v6SSpAer5IEqI06Mteh08YXnUcy4mJqx1ECitXEQEysEeh6B6rzraXB09b7qfWqThtDzoox9q
+F0HN6a+lUDxltG6TlUie2qx+qSOWXrwcGN3PGH0+7YZqkcphLjXRvOAikWX1lvLE3ivmE3cOVNb
WHNMn6jbKK9Vuu1lLb1qTfywA02P+EThjMRvyZ+VwwenevuRy6a7bnS9ve/LDnxjUlaKv600ZBTs
gcxCaqNFH8sgL9DfUCJVvh0yIVAOYOvyYa/oISkusxLzB6HJYoo7HUeFSn/IW6Os7v1K1TgbfbaL
iG8OyMNMv7wq7p+rBiCl3U5af1PBYlNvitT3LIcG2VLeQpVqmrZUJN2ezLX8ohN5vwI5H8nQawpl
B7WUfrW5NyHiQz4yfxiKId6oWoy4gDaMKs1AiCy/JoNY3SAkADFLwLIotIvClOBUjVCgItFGVL3E
JL6PIPv2toQJkkluKat1aqamnj1ShQjGZ5AESfVG2FPVQM3K4EpDAvtPTXuqsEstyAYeeMqb3Q7y
P8VV6kRPIXlFLM+u1Jx2+LmMq9kl7LBk6YHhPOEGYpBLYs79MRbprpoa+bshtQPVwh5VJGUUfwDt
Q0ECqptmkF1eMgT83Nw9j9hJIx1BzRS1djftIo/6UE1N18op1yhDI+ik1gkAYhJ9N1Eoqzd0C5QR
KiZ+8V0pfPVFVUTDjQ05+IAw3aquKpUGMQoQuRnxWpTITPHFQ3AYzXp4taY4RInC0isRlToqvjb0
tZX/apmV+QGphxzvsz4njQQ6EVIgAvghdmh4lm5HqyK0kcx+fGsyyD3DIVN+lWZXC4DBMvNnALIJ
5s6ySCuq+b75EVC+QF1hoP5CCrU3SkcAU43rEirKREGU3kfNSCuEBC6jty1jLKYruiesR1KYwEBk
3wyfu7QSi7vYE/ueYxhpBCxqj8hqqgbTNfofw7vIvfpbyctgdLpYxu8g/Djv88gc3uRCUp/HUpAS
quxh6F3N4ZlBtZDU0pZ8tj6iNpRJ0Q1YNHgtPFpyRTeUreat4jV5iIYgrvY5kkiGC+vsOEKQSzGZ
Rgt59tR+R/YgbXxLdAu19GMHZgNUbVD8Ifcd+0L9orSD+k+QEeA7qDwgfhRwtTbXodfk+p7a+fDY
xEKb7/5XM0xZm1UdLjyMldwVOrX7Y7Y1ahdQxIdPcZuZO0lvo5tx8PtfctSU5GBF8cdluO0pqtcw
kX1EiI7+VjDEC6By3ksdLbujAtvn0xjKtykHF1GBv+ph/MS+UoukIRjVQHQD1QWgWywiTxibiGq8
DHuy8BRagW3ld9RyC/Xh8oDOYF0tOLRgQqD6gl7ZYkDgs4qkTsnoztpPouh9i3Pv8bKJM3NGx6JO
lkdhPJBYHCN5NQVFlTbGhFI8Fsa3bNqQxL9s4hQFbSISLSrgy7RZFnfRihAHOViYoFThi+rdUkDC
JN6JwGQn2IkvWzJPsMGmSFMpt7kF3wB8AMeDyUoDaYMwB0uC7kFEWq8P4Uw2r/ThPTWvQ4i9L9tb
8DbNe4Epk6GqgO0RXce5Fe4r0UheTHEFzla1YZ53OpKHonSdVbsQJYDwFm7rjnKvvgK+Pl2xGfYM
hk3WTAlihcUgoZ6WBgtsnJ13T7CSX3VZs1XazeWRfcLFj2HW0NUAzmG5oPOhJnc8ssEQcoAkxNCF
2zsIVu46d3AFW7AlG/JihyDTtRzyjg7iYk6zGZzelRwm3SZV4ggu5YeN4Wpuu9IhcHoi+CyJNADo
b0NXl9u1MOGHr3Q+S7Luh/alMVcaXj/77U/GzczKsP3R9bhcUSGBx0UwaduB54BxI9Hhyo7skAuy
J/vfcdO/5lAhdcDHuP8ZNVhLx3c9h1yqU6ycIGme7aOvmsH29PQYiAaa/+mr/LrPpB4SdROmcdsc
98j2SL5LxRNdH/253kp3kJOkB91GL835HtjPH2uT/sn9eMn8fO6+8umIUZd7Eeah3abHTX40DSfb
/7zPHSjKyKhCmL/3tsXVO1AWO7PpxxztP70dOWtEOwv2PQ7czCNCI41C5/PMhbk4cKg88WRFSsFW
69YpJRH649dI0x34hUII9oCJF4KtdL/k+qUmn0JKeh9GxgpV5omboTmFTh7uGBmuNrQ4jqdDylO6
AayJnKei3edB4bZi8zRGeu2g+fEgl5FLBeru8oH8bKk4XgOMwmugQ0oDcZm+OJB6YgHZDSRqK5F1
V5WvRU8QWav9Yy3kN2Mmb9pev6OOS2pbq4DHqs3DYCpOjZhgVk5Xte/fFpDHr3zV7LtPvwqaJRpP
5gaXhW+v6pFiJ91fttf8kxfqQSR01yIVHub81pwlLAbTFpA8seTkHhoNSkvKP7IqrfS+nF0QWMDg
z+Nals3FghgyRV5/AGpdpiB1NRRy0EntIZklQXYFg7ADaOz98shP2m3mPfDF5OJIyNUI7iPDZMXG
10iUiUg/UqNtq/4qD1Zc/onXWxhbrP2g+QDje4x1gKqI86h/G7xCL4/o5F7BCCfL0KDhU9C0Xtwr
4GjHqM0Uw4beckOtaVfEYLN5Qlw2cxINwEyKMDGEbdyXJi3Vx4fHN4SmERoFcQXNfBgz8Q+0F6TU
0vr7NBn5y2VjJxOHxjI8zKRSDAN84JLyRNaqroa+0bKz/IeiHiJ9ZTDn/nwiJ7Y/04ZHWGz/wgJa
6udg1kZkABpSGlNvrAzhZL4YwlcT8yd88b0C7MngWTAhAqniKYrkg+EYrdsAlLg8WacbwIL2UYT1
y9JVBHgXG6BAeEJoNMRkhVDcSTxIfKV74civBLWnhxUzMAyL8GNAQWXMA/4yoLzx5a6ZLM82JIQB
til4lAwUDh0A7ZtRaM7lQZ2eU4J1+D8o7EN5xeV5bK0XuqCxSp+UNVZtNWz3nddt4iF9jK1p02XT
ir2T5TKwBwODjJ/m70tXBFcz6XQEbmw1/6fTpbtkaJ6yMbHVzP8r1kyuQn5wgBiUxSRa+sIDCXMl
OIPbHEYt45HfmV/5XUWVO1JMF0GdlZ1+EoEQEckw281sPvT6LlnDxGqoWtCu+LvWqdVnSfvT02uV
iVTYjU3avWVdv7m8cifbcbaozixl0O2q2tIftWWaxr6IxTxSHdh8N63220Pp8K+t8ISDUQJmJAge
ltcqqdxRhncGIMdwNxQ/tMoj77USL5zsCdgqPpuA4VCBmkhdeAmKxYVJOz4PH+HGJFGmVtdG8jq2
L5eHsiBi/NwRDIQqLOG6DIfc4mXaNcpoSonMWw4R2hv6/Ru3NMphD51cdBhb7Y8H+TQ4efK5RZdd
xSMtjRUV0o0cef+HXuWIXeVrd/jJuYOTXtKpR8xel2B94bb6ukyswZBQBJLVHnAOmBYT0p9vitol
+6lBld1X22wleud8cZyP4hHMwkkiG9BpiTOHzPFxL0FDdkpJS6jrugfXvXUPt/xqO//Ybu3tfm/b
/O12u93yK3tv7xp7v9vZTzt++r//02k/+cd+snf86z1/f+L38Xs387/nJ2f+4fA/d/7JcWzXeXx0
r/hxuMKWO//EXw4/5t8y/9b5H9yPw8vjy+HjgIAx/3Q48OPjMP8nfOdh5bSe7jgYgSBbgaaaLi3o
WI6nQW1JHVNWBeGDJkpcvcvitPXiG0//dnnLna6yoqKgpmh0HwNbXjZs+4giTlUDahjZLLsrOnoR
tUMKuKsIncL6c9nYuUFxSFVo3wwVu4tBQaPah5JF5jFOigcaxff0VwMy7m86Wbi6bOp0GynQXuoy
zPS6TgQxj/vLHRX7StRNPjrOSPC5ufdSo5ROgtCh/WGTNe8gEC7bO/V1UFOxWjq0dkA7l/3UAXqE
hRIFhg1Be3UQoRZ3gSjk14OQditu9dSRY8qaCZ2IVzRC2OOhhTUaGxqsbCQDzXgvUWyww25E6gNR
QNSnxFC/9o2xOwDDeTFA4az428+pOz6hYPnmMAOnrsw32LH9TgsypIZT0uJ2bv/8z6tauQc0ZY8b
PmUH+ZhNRcf53W/pL0Av8Jmutl1/6O3Wfilc0f7zYTr+1nDH6zUu+dknLT9N4aFNymM+M0vCzwmE
ZmTUuWm3Sk2dAlYAZS3GOjUBTTIMNVQLDFk9OTAD8jUAwlok35By0AXagsvry1vpNCcF0cRXE/Mx
+rJ3C8lsDanq2LuhlF3lnTC62pi3+wqArYOIUL5RpOwjFjr0ObPkXmnFNTrzMwd1djy8VqFm4n28
+IIUIe1A7fgCiZKcA7nJTa7nRHnjW4LywOXhnrMFYgsaKPKxPMUXzwk6MkbKJjyNkga1WuFatG7T
lGir/v+0Ix/PaiV09ITDzsndCshZuvVAEIUw05TJSrBwbodYkCXC7iZyfYqL84EEWuy3EqiXMpce
Ya1+j4y1fX7G29DYTLgDa6oxb/XjsfQQaHphQioBzYTCrtEP0mTIhAOtXDns0jz7xyeKhfliabET
BigEzCBn1lqVDsfwYWLjIaWJLLukpY5QkRNuf9Xg/HVhzfQZF47pWQqGQgC/WAwyauE7AMKIW5G+
hf49UAtVvCrrh17eiQAZ1PAm767FYVfQE1w9BdUNwKrWQo3cnvJfl/foZ975dBr+/ZbFNKhRE0J9
xTTwLWO+85u7XPzpwQmjaDc0fOvaLhyeE+/gRR2AlI0eb8dxJTQ6s62IDHUZRK8+CxssLk+p05Vc
r5iOohIlqmsF9zV4tcsDPXMYUQ/gwoQEjhTdMjHWAsiHe4J6Gb2Gf+Rc29Ir8Zsm5U2JbN5fm5qp
5BTcjMzbZ8nAWfp9qRaxgtK7Ub124fhY1NoBbO27FxdrTvv0vPBCgHKOYg+3AqSfx+dF6OWyhEOJ
XawIu7I035VYhtXB+vG3Q8IMD2K4hPFj0lIkYOwAZY4aZoymuwmGFLQP3R/5uCH3sJJNPHcLzy99
yhdAgniyztvlyyVhqUJdFl1Aco50gvlYUGHdo2kt9K8J5OnRVomoV2+oRJqvqtIMEeCKidtKCOMe
YVZ/DPc0xesvCSQYxq1XFf1vmO6s6YY2L3qPEEmrYRJNNR47zUTxdgtyIfkzerSRujpahC8yTekP
YpVY12yZoeE90nffiqCiZXBQ9Iz8bpElO1WJBkCAQVh9N/TJ/1aHTfSDwnGzj7Kh/e0ZUbOnP2yI
/trZz2WPfwOBxXlFJqfvaSSEFdcXEhcFVt+JcrG/mqCP2ED4PHy7vPJnHARVblkiMCNPhdjTwunn
6JzGrZkhMQgqX1eK61l1nZQfrCcgmqCJAlf1DZKNJzUaHDOgNynPDjmt+QZdL5IcPV7+ntOwXqfg
CJHAJ5u2oS02vFVNURIaAtrhmfqkqj5dyhV8BPVVNAVv5iStRL+nvolx0+RDUYt3G1vyeDP6caEL
cisKgBJC7yaqjT/91EwrW/7kEFM4mh8qJtSzBpHvYkzI4CIJp8CJx5PIldrrqWGfmuPf7pyFFfl4
KCMUWdCOY6Ub6TWiHtHCTYLuK8RNKw7w9H77LHRC8cagiCQXe1QrklEpQ4CiaflPaFFqMT/KEDrE
8i6K9oa8EpWc7og5q4XYGdsTf/sZdH7xF7wxFTCUDf7CnKAS9B7B8thS292qRFsKyiKXN+DpRaIy
IxwISpzk08x5x3wxB9k7+LzaQkKxluyg3WhKvzUmeHyyFUMnuwL+3LmkJpKVmYsri4cetVMv94Gx
2mr3K8xF2mKMraDkK+f7dPawAhM0TAJ4W9KRx8OJC1gNhjDwnaKW3pGj3HmwAQyCQddi1We0EJu7
y/N3bljwiRukB3lrcR0fG5zabOwEqAUdI/+WFfT6hwZ8l2uTd1qTokT6yRhNqI9E9DJFl8hDleZC
EjiHt9SObX9Omry/OhvncSXXKZ26CEjLDfSB0EgCDbHUvQiINjzwOIEj7yqX9M1ud1O7iU1m5fLE
fc7Mcah2bGix83pFhp0xhG+K7orP2ndF/Tty9A3qva7CIOe/Uv5/eHtzb63N7f3W3g/zwHcP76p9
g6Crq21QM9+82w/0/drgROzX3ebZuXr8+DispS9PD8rx5y5cJx2bsIP7zItgdBFKUVm4y6QC7h4/
fjK0XlqJIk838mwOkQOSPiSglcU9BV4WTiQgc07UDtdAiLdiaVyb0PQMQ7PlylxZ9tNtTOmGJIHC
c5nMyFLcDbKZjObyIHToULiuS5HG47E/FLKwUpI4zYkcD2vhBRJPMBqzZFiBCcGo90brwSauue/b
4UqheqRriWTrgeZe3mwnwwPIMddawPaAWdGW4fLkqzWSi2Xs+Pnk6KRaNFS7TWVFD+icFUQdWTCQ
RAbVsGNfIHsBlOcNMLi+vtFmzo4ppm905dycnM8ZlqFSY5N4a0EGunA4ZVwWopL1MZWp9kqjQwBX
ePXXs8UQdPYC3lqnhfV4HO3kt0pSMY7J617ovN7WlFfExPj7Pcf1xrsCjkGwZMpiJCpssaU039yR
CeHyTJEr3sTJ2+WxnF7e8x36r5FFmEBD9zgmPIqcIWTOJJ8mpTpxYNJzJp4YifcnGKrnyybPvMUt
wHFEWLhRZAKXL8AuLHoaB4aQx374GPTyVqXZeajEd0nyH4e4o7NHfKWhhgJB6SK/vrJDTlwHumAw
vkFZTzwpn2zDFmKYpJtpOnqxK+2mN96tzNB+lUorOdKssJGU2fj98pjPbH0OFuAzGGopoi4VIYae
Zs1Iz5EujSD31TWY/Yhiw43fc6gvm5LnvOnRxcH4CMOwZupEscr8LV9CliAyNeCHUuiM/hbOK5s0
5yabXrwERrj4pU0GWpdu6NQ+BMk81U4KPn3Y6Wm0LWJxL7R3FVKDxl7rV4LrT/mGkw9DPZGaLvJc
4jL4mKqxj0tVR6Y7o6RIXjkiikKkgP4cEOPpbTwiye7QK0LLWijobXOVI2f5ECSysBHDqvWu0tD0
g+uKm2G0if0Ul/YC+bGnl6Fzq25EIUoSBuFgQj+qOlJMo5IDdw/vwDItlbcWnVx/CyYkalf85+mW
xoHOWSxJhI5+PlDHc17BmRePWQzPNU1jUFvA0T7pezFzumlryPDFtfAnIp6RrRg+s6+wq/L+RptS
hQn12O5UBpknFHRX0E/vKLHm5rUAAaq0WdlT85+zWLr5biAdTSwsEQ4f29HrwdLSKuM1kbBYRcD7
+9Eyv6tQv8EDQKqqCTeld634uy5/gQNgMJ8rWDi7X0VxQPfPVDdDe08i4fJnnfH1xOWzVCSHihL+
YtZpgC+1kPY0+qd3NFvSIl+v+IrTHDYL+9XE/AlfDlM7lKRIa0wU7xR/IUGFkqa7Ht/6f4YfawnX
M45JI3vM/qExEXKKhS+2pnIokxxbJkRLI21h9X0jqxBjuPVaIfjcvuH9KUrW/OYAXXg8LN/QdR++
A64wv7iimdn1Y20PZerK9J0EhfzxxEykx9ie3Mkn4YzcDYJYRU5BevyGhNXkFr1XOOLUiVdS6Osr
N/NZe5Q0uNAoKp1c/ghddVKtA+q3guRabn74oQxr2VZUVx6hZ6YP3B+IAPA8XCTLeClMaNiFeZNx
jeUdN9Y73IY7XzC/Xd7f54YzF695PaFFApz8eJXwg1NA6ByhIflT0j66bqsrH0WwEgKct6JJABlJ
Y5pLtE1IH0/QhnLk+OK+mT4mNp8/PITdx+XBnJszXJUB4oY3LkHN8WCipCG49azQiYikd0KopRBa
qmEIqWqUr6RY5DP+6hMLRbTO0/3kDowoB+dGGEeOHPTiC6xoFgoZQSQ9DqNIC9JIBxRc2IIs/lNn
vbHNaIH5nkCWcJPSpWY8QA9UpPhuXsq7WcOblhix9j5qqL6+TYGfvBtGrV1BAUaT1tiZxg81yqVf
fz9fZJVFQhVRoiC7KI+il1pGveiFTquOrhfQqmnlV5ZnuZfNnFv9r2YWN0gmezFVPMzQzAFV1ZXf
iI4Wx5CMvPwXhlRKjTqQQJBQC19gqSVssirxfpsaQBSzQVVfJTMun0jaKO+THhAYXLZ4ZscBoyGX
gv8BhLJ8b8CbLY1mESb0fsZ7gT4yFS4brwl3l82chNBzpo3rB8/N8PB4xxtbqWRPbZogcTy1omEX
FhLKg9ejBd+1RoavKBu3bf/8NzYBloD05zm6vPcbr/JG38AmjMSbsGPb7gvpscp5NKYP8PZdtnbm
YkJdYX4mUOCcqzbHI6QUrcFZB2GmghQMchT7tDNcvf0TNsBrjW572dq5ZSOzQnRuko1F+OfYWumZ
9AVptOL5k3k9S6BIpraR6xUXcWbfU6yRyOCQXOZ1tRhTq0FAYglQYoi5vpuTCFFa2Aht1jC+rtwW
Z6aP/c6zl9oNPna5QWorUnAoQ+SQW4fzQeyEW5zIP0NWN/SUi9mmp4a0kh85M7z/IE1J5ZPJ/wxY
v8QtgmcKJWlU2tt6+N7L3klFgQaU9Mrr05WcxZqpRdhiTtRGypjEb5y/FNBq0NFIH+dboK54qjP7
4mhIi3OG7kajKRl2aA50/breGA0St9NfSz9Q7UZdggwfuQrehws/JYZipVZ0tjJzpttK1Z0HwRcU
zyu7XGUXLyJqFfU5HY1AQKgM7HiXK12VRxGihNBQvvZ6xQP/+a+P0QytMUkcUF8Dh3FsoPCKONCR
yXQgy+OkptscskO6Iv9+c89QPxp0uGXFkz4IEZGAQNB98i1JfkNBDSwCpM7ZB8geqBjG/8Klfz21
8178sq1DFVYES+fUKpX1LYE/JLELbRrdSh+rFT3MMwuEg8A9oFDLw2dZCwq7PORLMAXz694cjXsI
B1f86pqJxWhGLej8wsNEVQzW0+RXEWlF33+6vBHOnM+jgSx2WjDSOjJZWDF7wZ7wPSoVjCdFWHsr
nXFz2JmxwKDHKL4volUY2cQpo08Q1kH1eQbddJZ3NckBlNzxrSKYa3mcc/fuF3vGIkAaTZjOfC/n
Dixoc6+rIHfyzjdsXy5/eB6qAKG/C/I1kd2zVme9ORLPPGyWb84+8bXaD8vEmfLkmrpQkfyW6Uei
4zJVJKc1V9zEuQcowcu/9uY99GXHy31mwDKJPbjPnREiRAGqTUkVIRd/7rX7lDyxBrFctLm8aU4h
vEQ1X+0u3IcqQdOFYFBCqWvaQY+llo+jAkfnrmG0QEfyenQgudu29R5FhcvGz+6kL2NenAvdm3VL
UmxTVWLnwO8qDsLDmPhIEfX0ead/n5g+GuvihKgDrM1BPo9VvvElKK5reHShlrg8qrPn8Muo5p31
ZSXRHPFbRM/gtkGceNCan33d0jrpR2BU12SFTgti8/KRYaUrk/wFENxjY0mT+F2tksptNIjEgxba
xdJ4RzgMLgrvW3SVt7YKHSVMR4q4F+ExjH55uu50/luXr/ifM1uJ4BFECbgVxaDGsHAMoglnR+L1
mt1XlvKUTZI4V0+0w6BNFeBcmApbBPWc2JO5RaBf27St19rRrCtRK6H53yw2wvVzrRqE6/Je7GQg
bW3RkKMK69+pCYtPCwVJYvorF+PZ5f5iZ7GJFZhbSTWzAoIM1e0kO0IDPdb0E7rhlUvx7DVC+wUV
KvAElOGP19ovifQgduS4CKNlKzk8lqhPrBiZz/siXuEtRQuuBiD5DGxLEYcU1Q7oqmHJM/3iRku8
m7YxX/7+kPCksahIUG03ly3aRtEJAdV8dkOkZ990cUz2FYTCN4FsKS9aGr9eNncucatbJNtAOfG2
OdmbQTdz2oYjHNvw93fNnjRI3v3QecyN160AA7Rxm/Ru7W0v2523/MlsoofHwWDN6Hk/XrIcvaWu
9UXuSiG8gdpP3cX1KNpirtUPZnMdJC9Dm0PAvQoAnP/gY8NgYSWS1Ihgz3nqheHSmsYmVNAd8mFQ
hx2zMW6EYHgTagX+LzLtdtqar6hJTK9NX4xuE42qU8fhk68oP3vJf1HMKr4T9HHaxR2MTj5ddCtl
r9PdzPcxM+CQuN3FZW4tEcRamPsd7VL51hSvffZ2eepPL/DjP3/hhrO0RnYnkMirSrtYeDFkuDIf
k3SnmW7hrzUsn56aY2ML16dGmQp9J4PxElf0A3ilYQSEle7ykM55WAmWAYkcB1K56hI8ItdNR8GL
XDFNC7ZqvGjxT0X5LmSDXWo3sfy97A91t4X/U45XoRdn1mvO8YJGnLvUSewdb+XM6PKkVBrNlqUf
Uuwm3kybDnX2H0NzAMxUNYzNWr+x+u9eXG8963a1rvxJAbDY1HwCMBOq8xTXlltGgJDdHDo2NdQn
GzjHYngay/C6UcHO0/4h3LewuHcRx1h30C50snw7yJupRWnC7dUHuXDq4KokAh89lFN6NJx2HQwU
w3MPV5Q4c2vETqkF295UndGDKDt6Rvt8RO10MCs7q3/RU+fGwm1T/EzV33X1bJn3qrWLRnHng3wh
wZikz61xnWVrj7wz4eHsQv4d+mI3h6HhTVnC0OFNgTkUsQaeYOitBSqsBC7oWneMnjQoxS7vuDOH
6MjsYtGjYRCEpMdsN27bnuIt8/hMDo7N5t+QYlsJnU7d5dEolUWojzZAbNY+5nJopBv4Y8TkOh7g
HescWUItb/wQoRi+PMQzR/frEJfl97BoOshSOw3WJN3xC5j0gZ2G6GFdNiPLpx4ZOwYPJp7Qc4vP
8fnxxhEOqRY74zQ4UBnTx/2cJb8t7VpqHw1DsNFnmGJoHF/7KoafbCsrH6Qt7F7T4YvsbYHCV6Hc
9sOuhqFTEIqVYPzzyj09Xf9+4OwAvsStXkqbDrTVTASEbY15HcHhnakp5jjzkIa1v5NRsmfycsN/
mMKfeQH8ObUbJHmywXLGENZB65FOFlpM7s3OtyvjTq71lXT5KXIVcpqvUebiZiMPKY5jzTz6k+wK
hmPF38NgjyqvDB4pgpJSNZ5MSrBk0q3ylXpsO3xAQ7UyW2d3zZdYd3EeZWSKjNjjK0QaJ1TvowQ2
iL74yvE7E94zWETALRPgNE1oy8GK1lTAV6zZSfmIKlxQ7RU1QRsitQ3Lba03I/8hMuG8jPnrlzbA
eW/96CvwI99Wtu+ZgOLoSxYDpp9GUZSaL6m7Cf7MqxY4ZhbPwhTXFiIrUMpL0HkK8r1YP4ni1p/u
hvG7KiD2HV21FCCjaLTl9rqifl2bm1RrnAjay0Ft6Hh7g7SRt2axu/zNZ4K+efbmznKd1q8TfDu8
f72B4LUGqPPNk9FZ+yEogV3V6m4AN+B1k9OAJwBlLzUrp/3s9mDJZqIjeIGWNxVkg3rehZOGKBlC
UW2DTnsqdB+wjicrW+T0+TGP8V9Li3XxTQ9m9wpLVPx4GNDjEmyR49jrrb4ypjVLi7tATlk0L8aS
r4iux1U5ZZQhkge1XQmaP1F2J57o3zEtrwHIx01jDHA7YTkrzEPwyy+T66KFJzd8bIVoI+ObfMmZ
hDtJ3MnKtR8eVIsw5CWx3pTixTAn/uFnP96SdqeB/D6zUicqNzmacEg8WI8rG+3scs8ZRBrtSPV+
HuMvrlNXEo9KIR+sC97dENBbWBnQoqP23gzKNpbV7SBOZHIMF5rin7H3XlWIhKJtuJusDt37tZbL
8zv/ywct/MYUqOUAhFazM33a5mPhSCLMaNZNHcgOomVkdA61+NA3um2Ef3+fAiGZ+1aYD+RNFtsk
lVOhD1McBSpF5KuEW69LNk1SrBQ+zg0ROwYlvxkCeAJxFuoYfL+BBx40IXIE1I9slGLRhBnhKYdC
Wdjy33o7j9ZWyHS50tJ4pDjcmcl/M2CK6iRfqGTRC7m4N0sa9DIq0ajjRPvE6LfhlG3yZg0Ec4pI
JuYnmfE/dhYBBFI1YxSk2ImQwRh8xc0t6UVpdFcecsfKtWfP7/ewd99YEPHD9/eo99J9qKpbrYtX
imrnJ//LtyxihTa2oGrVWOR2TnZoO7QURf02h5YHKnWldyoxvUZatk1XTtr85y48gwbvCZZxD2CB
Fvs6odQhhbPdOLqGDN+xmpVqwPmRfbGw8KdSh1CzmDHLqXXnG6+Dsq/Tq7h/VYbHNL8GvabKN32+
soXOhfdH41ocGmrzfoC+NbGX8V2aXj3B2yXitZA9VOg7NaAowLaspZPOOC0gEzPsQKdlnxLs8b7V
Gl6t+shIVZ1z4alXKeoKeWatPFrnCTtZsi9mFhNaIW82GrMZRAWdot8FaAJmEHU+5fTSQaK/4orn
U3DJ3GImibJluE25peL8QUq3QnQLaDz0f6N4R6YBxn1uRifPPiRVomlwJeK4PKWQyR5PaRKlidQk
uF2lDmAjFu9RWbjtEnPlFKyZkY7NoC1KjithjIX2VDf3kf42eU+X5/HsQfufVaMz5thEHoqB2A6s
WjwJttgjpSCsWFgbxMKdxXkjwn2ChTYIdsrA43Lwr2dpm8sDmXfxcj+ASgNrR+PhjEU+Hohfwmhg
iixJXSkwbaPwZ95KZQOw8SDoazi4z7huYY0YYEYakCRRIExcWEMBR6sjVgYNs278owXyVdZclfng
6BEaGNa9OMEiNxCTGAmNpDvRqHfm8Gy1KGR+WOqdqHzkxoegoCj8YDWZW+e5q/YHwfhl6pUTN/JK
THfO3R198Bz0fYlcZm3EBEloLpVYru/laCQDkjfvikVPK/8iBpydhi9IIGSHYJxCR+jFezNok7Xv
OHNs8UHEDfPrGCjmYpmMNpc8xJY0uxmKdBOYVukiUCXeSB4cER10ZHaS9b2jWtFzkKQQSPcTHTOh
JnPVA2STjLUDcM4l02RmiTy9ZnDK58x9mRmBRauMRtHsKflhJaKtZW/QZdtG+V039+VQO4bxLKjC
32/Xo/VYzAMpNt630AnbQUkKRNYbkcdW2+1jeAghP+oKBD+iNaqB2Sde2rULF+2nsomoMkbTaZOR
Quuz0a7CbAM+zGnhnRWV76axSmU6e6kTq8TKn9k8GbKs462n5oOS6QMnU+sru76OEqinBRCdrnmX
GPfZWP1R9fSp0oX9ZY9wLovKXvsfw+bCS/udkiTM8vyo/tb2PyT5zyclsfktr/ZNRK/KBDHtoUQp
s9VWLsMzTu9omy9mOpDbmgQmpnXYCNLuR09rTJeteNYzqEjzyMpyZnW97LwRKxFXbIcEVDi+0BTP
besq5q8KWvEgs8mRGjns+KIzxehBZIjmjs9F1LiQ0OfNm2yRKU3saXpbmf3zyz4X9OducGuZb6uz
rEiLkZOet9+H8ZAoeyXZdrS9DIgUjmAvD6nqwKJ52ey59Btz8q9Z+Xi3xRN9LlbGQ7K3SCbOCsQB
b8pw09A6VNWuCfF57v3qInjoKhqhqQYZDuhRGwmLRHiCe182HHgdI9KQjXmo175vXviTw0DLGaEY
LLggjo8/L6dRuAwEZkVXe3cW3o6bzrbaB8/Y1/GPcVrZItKavcVGFHI/QW+I6YjC4YocjhT2diBt
iwJp2+uw+N6Zz5p2i05HMLSkHm9Rj7Ij/3c0uKH0qBervB3z9F8a/2LL6pOeSl00L4/2lrXTvkqm
LTLbdht+lwUnbl9GVSaZ8q0c+aIVn/v/cPX/M/lLhAncetogwc5DVrUhprpJvGKre7ceha+U51Px
YQWQoqxkOZauAHIHepvBNHK90FSybLXIZdPsAiWonRJhFE8vHU15beK1xpHlOi+tLO73pMpUMR6w
IkbvtbSpW7cM3iFdH1H1i9ZYDE6iiaW1xS7WBNpz4XeqYRGoERxztOYBqv2wa922dgPUrLRiazQv
ob+WvF6bzMV2lttSFDRAnSh07lA8HZLfw19zfS8H979Ju7LluHFk+0WM4L68gluVVKXFkrX4hSHJ
Evd959ffA83cNgvFW4j2VXvcHeMIJwEkEkDmyXMYFwXXXSlB/KC1LRny1S9jvs8X38RbpjFkb9E5
+Q36t603BGPtu/trdf3Q5ibuoefdQnnJFXpIljli8VsIkv0C7eLZup4EnxMh2cDMWmReFZUJYY+4
weJle0q5fAXOmurQXVtuRuJj6yXg7bF/zN7PzB+uRoIiHOcRzD45WPtMhNasBeJsKUYM1QNILhp2
V3C2HHW/8zkFBRmaur9Z5E6D7NALAD3IYLE2y6c+2hvWdVc/RZlr8ChneYboUNeLN+H2mAcwVM0Q
dv29iFcFaj6j00Po5vKq0f17aUh0Y6ws6QMQTZMKS2L5UUJUC2INNQgsS869ZXttQGMBmCkotlgU
65ygxSjT09ZOUOfIAfEzVc4BvR2o/lhgdvAsRjIURyifBBRX55gy6UNpzVAPQykQgPGcdjQ4uZ7v
BtTzyftjk9nRphZFVi3CZlzUz6lsQK0tK2qUULJ8Z7QVhHQs3I2R2EvS+TXu1dxO27y+1jNDgNRT
LCjvcr+0H/1UCocG6ZuDOE7VLxU9Aj+g26QeUbVFlsGEvvMONJGQkqv0Bi2CnfkFbuXgqZ/F+R28
MJFd1ZPqzCluKPbcQa8g1cMQHRpG4OXAQpfErKz0aAzhcEQmJdzHoj49JV13bMF+KKNyok5ObSnx
x2DO1d5MLW23GK36GYlokYKONdRCdUFzE2V6ECsj99Nae1Amwdqp6Lt0GyG+K62Yd83e3APoawF+
EmzFgKefeqZQyEaDdvrWDqVX0HPPUF8HIamaHqAuf3kPnJ3f35FjZYp+ynoTNKNlQu8TkTmR97qA
h7a5q6xXQQVVjQHhx4qIKgQs7ctmtyI0UBi0bRsUkRDLOLVa92MiFCr2xAzKoKbNPDSG2iPlvdMK
P0LZa87R0deJz5fNbs0rGEcB96Z0GyDHPTVbAHHbz2bW2kGLzW7cD6CbhoO07wkwF6LE43vYOlnX
5phQFkSGJoA+sbVT8X7MWrc1fybdv4UZ0AVcG2GimNGY1lIOMBKWn2jbigHRyu7rRiJZeS0HPA7t
swfgtzkcAaAEp62uLFNbnC0jgNgV1AxSQHWCtxHwXlDUgiI8HR977D80bFh4A0MtkgTS++X125xQ
U0FDCppA4T/M+mWCWiVm2SF/IP8Gqt+OAcGqOZFtK5iCteQfG8yi1TloBNIJWugpCHfjxR9D2TEg
ElC8yv1vteXkXLdHhO5FtPgDDs4+5E0FioYaRKPsQoGqamS46vuklZz70NYJZCIV818j7KM9HVVR
FdIS1+WyfYoKzSsay/2blfljgrkA6dUC4QAB44BUKFJQYIeaO1vn9Uf+H5fkf04ddiRzsBiN3uLU
KUJXqHx1gjRS0uP6/1KLxBIOS/nTANJ74G2yrWWiB/h/z3CTGV4xR5Lcl7gqFFBcl4DuDBASQcv6
7ydxbYW5xQlGVixliqhYz66m9aiye1HwednG9hSCVZbiB7FHWGxvWFtqWsww0icP4eKL489F81M8
zYPQz2Pogb030U+8aC+b3dpVaCD7xypzoqmCXLagA6GR9y2un2IJ0qzDtQCBtvQh1XKOtc3lWllj
DrXMiIFpUGBNEF5j5UMFgcTCPTk37/wrI8wZNk9lAsk5GEmq+6C/la2bSQReobyaI6cNkR0q7RGQ
t0rgnJ1bhxho5P+5HNDBr07sKgI3x9LhxDaawF8mCOnG0U0/hjeNMb8Zbf4XF39KCw5UM0KuwgZ8
S+msOEbZ1B6kpw66Y+Cwi5fEQbKeGBDR/fdusjbGuInSKYtcpjBmDQ+BficBsTZq72ZWOpqxj7p/
CXOnZxnmEX0quAog5jO7OoDymxFIfWsrMvQcjYYkk+YW6fvlMdFvZm/KayvMrk7ERANkGYdWad0E
aYd3hp/Kd0nGMbN1pVqbYc7GfpyWWV1gJlyKXdapfjv0pFFMMJYg+4MUdDHdilLHWbCtnba2ypyW
VhqE1giMjh3Kr1b/JXdXsvX4/5s/xt9jSJS0aEhAwOqmDMrlc0QqCN0ChnTdSj8u29ocjkElDJBi
BYKaCRyFkeUd5PCgDQRPAFfb1ahqr1DzI5fNbLqEBTIOeuSjsZYxU3VlMgPB39oanm4gArHuQPH6
pYSln0+Tf9nWRrhAlQBUTDjkIQbBQiyaJFbrIm0aWzN3t3JT2eNwo8S8IhRdZ8bJT6wwG7eY1RIV
qBaKrs2uWjrS8K5lG+4NA0jvgiLPAE0Q496zPsdzGsCAlraQkwX5uqR6Zf+4NMARBsJH1OakNQNO
g8rGsYVGABmshmD+QrsQs1BWEOlK2HQNhFpxaxIDMunqvQFul6Q4dIdK43F5bjjGiT32TAlBiRkI
sCcMkImDaFi5y/L9wuU2OQPEIPSdGGKe70Wk6xCogiGp3lfqXpPtTkd/hZtaT0DhyEjeZ+luSnxt
6QmIgvEIXDh7YGOrrb+ATRzjYQSdaBlfMM/HDHBl2dylxe6y72+9bk+MMBE+D3u8juj6pcLsBlNu
q4lFIId+aAFqS43E7RFNIml8KPHk4Qzw/zBuQQMN9CcgyGH2RLoYyzzKPZjpcWkEnRXoOL0sfi7U
B6iAEVQnUAsnCY9Le3OjWH+sMi4LpiMZ4lNDYxu9B+m5QgYfUeuJ4F4pSZWnHgg/Lk/y9kL+Mcj4
7BgoRS4sGGbTHmvz1ppQpOc8YDanEjwEEqWtRCc4i+WdVSOowmqEu4pxdzNZ0eSI9Ry4EIKGGIJV
VARs2j2xIhkK6uqCyp1aKn8xTiBbAM8DNyh6FJlzKNdBDZuOaMcL8bwNQggNLjcRr/loK1qvjTA+
I2ToTFpAR2sXdWhP6UsGAnSINxr22PiXl+2bTIQN2WtTjKN0otU0QYbx6JMboumjuo+156h6mDrf
glrdWLlZeoyydwgmL/0OXW0LNHFi1PJeL3/IVsxbfwfjP12MbqyswXcIOXCdylMhzg7u1iSxJs6O
3PJUtADhqa1RqQM2fZCibKRFNaQiQD1sz6ByQXmsKr3Lw5E2x7OywlyJIquKMjWDlUTLHQm6k/O7
KV4N4nVU+4F2PRi5F8iHOD1Khj31r1r6FSzv6Ka9/Bl01s5Wd/UVjLeC500cO1Az2ErsGhBiGku7
rwERgWyJ3iBv2f3N7gAwAMSSKuhWWMkpNNoGmQApC3tZrMrJWg31HUN+06BRxllFZeuuAdg2KItg
RsE6nj6AsqSO0ooqfgBf4tTu5ACgRGZwwKY3KLTuoarljm581Sck+0ILkhcfkufPys1v5ZvYkXwc
Zs+ZHR3E3b9th6GH6urDWOy13owAPoz4sNp8SIMIVMv7lEcQuhUgZAhpIQ6CuBDdmKeDX5RxzrJC
aey8eapFxIhk181X2uJKMq+wvDXPa1PU0VcPzXi2pGlRMJyudUXULVL535I70AlbW2BCUF532Zgu
sFDmM2mlmqS8atLmybE2wUQXdGHlsTrARJzsteY6Ut0xf4vEXaK6vXAVtAdp4tR7tqKMDNUcUG9T
TiX2rOqbIp8TiXqB6kFWvY4PFs/EdwWT3d1QeMOLHFqeQBgyXgC4F14OoMyxgTG7ar3Wtyyn/Yj9
59npvYrkkLYNqPgrxCfbXekKnPN4K8StzTOeIUAsAP1MdFKrxhYRp3EzNtSrePkbO7jrmyIkAaFC
yVz6TX0UkzbGMOfpNtYdCMHr5a0mP1wOlZsLtrLCBGxRFkbKlIeAnYjoQtjpIZodeY0Z38yd7JJB
3BJ6bwCqALPAjGWUs562gSK1YeY3gug36M0zn4LwqV+IopXXqXWXw75qelbmWrydtmVeRiszpePG
EwqCCaebOZv1MJLKubXl6bYFTmYy7o3oWZs+5OJRqEm0OK1+BQ7KXrmF3NvlCd4IJDR9BEQgcCIg
m2O2eWvg/Qnm+BbQduG3WdVgJtJ4UlVbNmQ0lWloFQdXGyv70adD280WVH2hlFERadY8zUjvL49j
40wFDBZZdFwdUH1gUd/iKOlpA4lKW4MWxxK7y6KSxvzqY7edGhLzeE02dtmJOSZ06dGci/ECc8II
TjbBBM3HRJoBd3pt2l0e2ffRxHinDHo2ECmCxgfqKcyZGpnq0ARW1tnjVUnQxWsHTkm0iKROf1X6
6A6Enrb7bjo10X4MdkQMG43tzkfupAfFFonxyuN+2prr1QexZ6lgZeq4qPgggH7l+HM2IgchO2oy
MkAbuZk5D/2tBzEmgCpF41DS0B5xuj+GUCtVo4A9SSIWEdAEAvJd+6N9iXZWSl7HnJTQsuNxNZ0p
t8PYiVkm9sjNgPRkC7NPuTuJJKxJ76MjhQR79S4+LDvLG67RsEws1/qFFH1O3qz9W7sLQqKQ0Gvf
b8rF6bzZDtzLDrF1i8WHGegQwtNVASz7dD7CLhZRq8SHBT8FrzqETvfR18R0gkPoSmBKIYC52vme
RwCztY3XZuVTs0GYCdKiwGzYKkRSBmI+Xx7YWavuf2b8z8CYhVbEURtqAxamj8FRdqob35Q3yUv7
M7aDBw05YBI+qC8VrpOAIzhXkZuSr//nJzCLnlepFmZh3tmz3ZLe7d6lg+qUP+/y48drddT88Tmw
sdKCA909Z742bY59unbnm/3PFDC3B0sOQ9RWMQXC7jjd5l+Ab+40fWfuP15KH8C9oCDCL/SqP1i+
cT+T35fNbz08T1yLuT1MDXBEaozha7e3pq37w7vkTNAXDO8/JLuyO1exm4lwCq1nvc/f6w45D+ib
QqQAOb1Tz7LSKq7yJe3sPnDbygOvOrLjYLjRwQdti91RCK9QOhQT2+xs8VccuROvELB5BlN2H0id
Aah6Ru86V0alGyPmfYGMa6Z0JAXrBYKyrda+ouxL69ZsCfTkSF7cLOZNxXv/bh0ooHGhSo5UcZU9
I4VJXkq1h30QC5kJuov3hRUiH/x0eYF5Zpg9PKJJQW5FrG8A4palLg+ypH8ITfRD6gLOXfusaeR7
VYFMBj8bGlSgiH26qlERdZJGfcm6DezOifzg3nSz/fRoPkq+shuupx/Csfh60H7j1uHhKPFaZyaT
3T7zdtV2xFx9CjPsJmmNEQpUnZ3O2LYD3sB4mkIy20bjzAT6B1smgy96y5WxvzzfW28ceucBw4gE
xn4kL04nYZolEWQtCSahA+GYMfkgh7G7Bks75Qs63udbJFjfuk4BRejICSZbARupcQjyYGuB6o25
22VCo9Qgr+tsOQTo93Pg9ZJsXM6h/0RvJdgyeEwxf784a9YIOTL8/dE8T+BVL43Qm6QwQy98Htac
Y4/+bUxkhO4C7nfIGkOnm+V5BldYVBgiarp5m5FOsB7qxrRjLSNm/GuoeAzjNORcssYEwiaQGlCM
U+xVEdpFdswbOwgMp9R/pGNL0vaoKhxX2baIxAuQ8rQYz3gKMDtqkbYIeEacuW2Dd6L6nEAUqs+V
h7H/yoLQHlJeUW3rbkXVlHC3RLEVeC/myE3UZOh0DeAQqbNbDcQWIZHlAsrarjju5QwUM5DTEFA0
f9P6kjTpvlY499uNdT3xIuYqnYR1O9cTvCjrun3RQEWyVdzZHNAGpZI5er28ITf3BFwWaE/QigLy
ebofW0MKx34sOxwlMaCJ7WESM87LeGtOZTRMU5EYZPmQGT+1ESblLIpK1dllOUMTuCRgiIZ8gumm
QXk9FMVVMIZoPoh3RgMSgBZ9m1KGJLJiQ3yTF4S3Aj6wrQbqmeBZPqvNyUMeKkPfdHYhmG41dWg1
QyfKnPlTMO2gce4VReYZ44NU6uDYVfysn/eFLJHarEijJQd0A9qRUO570OT0wa+keEtRrNR6cMqm
2XGOTTC4dBkK5wYneG1GTvQb4t2jaCCmZvMoqSpHQijiy6X6xRgPkkXk7rUy/T660yoyFdc6ev8v
O8cWgo4SQf1jk9n1eqA1otjCZkjpX4E6KBTBDkc3VwRPLG8n6yhlGfpXgE70+r9IC58YZ9wmygJ5
SmYY70fhZ9eiE9x8bKXOTbKcTKCEUud3znC3tt56uOzWK0ytnTo63ApYS+T4ouI1RUJaVx091MlY
O0qzE8HwqKhIu3QkE/1YQDT8HOdrw/rkfA0NNUzIPRk/DZCrnCbqYlkoTvgaA52A1nT4RgxroAFw
lyB1jeCuLl5EkBgV6XOdfQrmA8c+7Y87s4/kLTjJVRXFeCYUaqnU1Ohkw/zLjw1uuWr0hOyLLO81
HX2tnpUCa8irzW89pY2VTea5ocaSVE3qgNibPUSDBzrHWdCJpXjDVJEy5ESmjeB3EuwZa9E8KkJo
4VBTjPKlaNEVZXVywwk5G051YoQ5x9R4FEIQBAJ9PoT7MIxtXbtvQI6PSpLXqX8BXoM1lP2oIA91
H8Zpks7IpwWnphWLriEvthk/S3H82JWmNye4IEjV/rKf0O9n3GRtUWPaLHFtk5Khp4hN4HkrOdsF
UFFIs7/I8MMM8Dsqbj1o02WigQAq9rFMAOYV8CQjlbD8EsW3yyPZcL4TE8z2D2SlGmWKPRWTYofE
KNEnSDjbEtjgJmjFycLLZXubngEaP2ho6KgUs3kcZYoBICtrDKkgg6B4bXDbxL4JNuxidi6b2jqD
wfb/xxbj6kNhzaDugy1jKcW7uauOVqzf94vlVwPQ0YosPMhq3BIJGWUytdl8FyDf44Im76rP8uS2
M/P8J+ebNgLcyTcxO8MaqnGwYnxTkCdPStn+ysXqJsvSj2B8ylEATIPAGUGRoaUJWVR0rgbhh6yH
vJizcSWwLKRj8doF1yJooE+3TBUqgInXgNaBQXKs3/rOsdLnHORrnOHSrcdulLUd5v2HPEYdiC00
jToH9FChG+8CdArZCKxE89+E4+y0t4ubO+GDcNDdy8a3NunaNvPgG6whmY2S2pZTX8sSqFhZ+xx0
65fNbE3l2suY+0JZan1iUsR9W9wMlPKuBVXm9GT0u7+xA9ExMMuC0p2V7FvaokTJD3bi0DZF3wjT
fYkWNi6g9DuqsGuGUsA/hphto2rDFCs9XHQwP8So9/W5Q3Y5MH6GUbFTslfdMneSORFl7py8fW7l
4a7XrOcKzioV6U0yi05s5ZyIuxmnVh/F7JsSWIgJXN6IU5Sx76Diagah19wAVBlNP9PMWdQt31nP
AbOogiD0QiNjsvsZZYTOgThbCWjS36woVhNIRrSIsJXIUZyKZkqAnKwrOzIqLygLogHHlkqc43h7
8v4Yon++ulWViR4Mc9KiZ6L4rWrLnQGmMdODTGA/fygBTyRve0P8scYcx80YtTFQu9gQioIkABGt
1hcgQmGJnAC/FVxAn/6/88eewiVEeDRIurV2FL+2KEBkopN3ud1pzzXEvM30euKR4GxlKXHLkA3Q
Z5iyChmg05lMA4BAv/solnzaTfVEJCBDirgimVrepMpkC3rlmdpvqOVoxaeMTmQ8vohYWI7e5/5l
99ny0fW3MKu6aHINkkoc3e2YgHUFUAxnrJXIUeMo3V02tbWka1PMklZamZmJClPpGO6zQSJh3O+T
JbeXSbYvm+KMim0Onvtqkid0I9iaJBzLGsUTRd7pxv1lK5t3g9WIvnkmVlsCXpOVRgAzgZD5faw+
CyXA81rnCqFCMjB/pRJAgaPuTwbK20PiGiC4b1WVxCOPb3NrdyLYymD+0nRknZkz0hTHXqg1uHEb
jnYGymy9M+zW0g5j9x5LYPAtFt6ZtXULA/0LQComkpIKW20eceFrIhPRVJmVn1bTx6QtkwxGi9qp
FRnaNKHE2axno5SADZShnQX6IMAv2JfVII6QNhZMaFuIey2Z7RE6BdpBkZ6a4Qe3p/d8eVFBoDqW
gAWLyMOwXTRUwWtYhDKyX7x3b/959+HePIQOjxr7jGqCFirQuQWydypRAy3W03AQCpXSR0se208a
gZA2IQdIVxPb3XGqI9bZBqQVETqDSH4i8WkxZ7IcyFkph1VsO0codr8c//PjeUfvSGAWv/Dj/vd/
+A+f7Al+QU77v39GXJe4BTkcbGd3f7/7ut851/dP90+/nzih4psE8eT6gOIsFX9HmRAkKLjnn84J
QEOaGpQ9tGnt1vY8L7a/f3YR5/Q8B9lQQ4DMA9SG3DP86tSQOJZ5ms+YfOfacTzHw6BdwolGWysM
jnuQ8kKHWcfTkgn4jWLleR3XMeqN19dP187xl+c/f6jk2eUs8XnjFx3OyhLdQKuIJBahFFgRLF0f
j1g2CL9zQt7ZcQkDtAYhIxWoINYwQ4lLCx1yMYiuro+O83L0PokPd7B3nI3+nYRnHWBthxmINORl
lJawc/z16/3x8TEkC3mEqjsukYAp0H8eYdo9uPbu4auyH74eRkL/+ZpRtI7ovzjB/rt2eP5FQONZ
Jro5QHlyOrUAt2hFROWEHbpd9rd7TC+Vu7d3O9vmDP/7L7tkjLk6jkYB6HxNjTnwfuL98LEzYcnZ
ORxTOg0vZ6ZQ2kFmFTEOWebTcYlTG86d1VJTR7oDvD3d9jQQYHgYn0N/Xfai7blc2ZRPbYZWOvVt
3cFmDowDfkMhHr8/YbSpHduf/rN/d7g7HFzOIp5fvaj7rgzTl/Vqf/T1IEdiCsOIgCXxvEf/1b7h
BZXN/b62op5aMUJJhpgGHZ5zBOMnouedD0/9yXOT8zQzMxzGJ/U4ayhYHoZeHG/vkxuehXPsCrWg
qyq4qKAMAu3V06EoSVkIKaQy6EpdG+Rl8HrX8fy7j8r9+A6V9o7uAc5bY3v7r8wy2z9VghzpMZil
/pGSl95+eWrdEcfBjCxA6w6OY2BXEJyUKunwT4b/fAaIBsgCMIkQnaAXDrvT4RxM1llul5kP5rww
iwgSNup/lpYeo87x+zdsHLp56ImKY5RuVvobfsfPAf/+3kzYTvhx6Da+vJ90ul/O9vCf6WIfMUId
1L148lXf3+Y5/zm96VfQb8EvnAj0h/cF53htzAsguEDeQ4QT9xhmXsoShLdqA5UJahg3iu8fhMgf
5Bmjv7GvaJh07j3epebsTgN+VnBMoJ2PFuLOBG6Vpo2UwYTdoZ8b0uvoMbLQI5JqrpLxBOS+1URP
ppkxxkTlLimEJDIVHH4luQ1JSMBRZw/kE/+1AL9F/x/c3FyMl2DY/uHO/rH/4e9dF8P/+rr/jWnZ
e3QjPd1f7+6d+6en6/tdT75CZyS/eWmzs+s57sd0UnAhQF8S1HlPd66WjnkBigw8SNDTBhDxjIyp
u0gKEur1FPSGj9aleB82RcYJshtLAtoIDagNgOxQL2SCEnrb6nlRx9SeJHCTAy0KdqtyedFmLblK
C5BWcJyf9X3gbHB3hvdD30tS2UdY05dGMywTeAKBZ6qhyG65skXFUt3Lds6xH9QQKp+gBdcMtEIx
4wrHWESTFwxJaEeUdFR3JhDjRGSB0ofiRcJLGPxsC28qnmXDh1bGLD9kgmvqPuc76OnBeOHJd7Be
mE6W2Af4Dj0JiCkHXmZ5Rn4HvK9aoTkLyK6DgcApuXUBaB2Q6QKH3ZoG30sfwHhWu6D/bJbxAaoU
AX9ihkQToe6gQRK+EFM3DwO3AW/O5WFvuPPJqJkTIVCqXktGGO2myE2qqwakMlnkCcNOmF7/whTQ
RhAJQv+JzLZftIHVy5C7T8EEX4I43a9kN2vQFDU4AQ/bRH3mbCqRQtChBG5IeL7jz1f3ETMtDTVs
oPc2WbdLBz3h54XH2L1tAgLJeMUCYMOipxJRHYpaBo9mNNfA2Duz9JWFL5dn7PwiQvcGtJ//1whz
oYuaKFigPZraYguFcAh+iK0rKGH/kg9AuuvI++zCdBEfigkp9KyqxkNXgcnVnXoh3qdZrPEeQpub
ZPVBzEUP9delikHtZ0dgdhHtJkI+3XS04NoA6UB0b8X72vLiHik14xhrdiPxPoAaOF9ZA7VEoAFN
PDBPV1buUnUxUAyhRWi7k+xccBV1r4tHDfUSLSal4Fjo3xwhxPShanvOepxdU77X4491Zj2EWZ21
uYYLl6IfdTeLERA5fjdnZxyfRXSoNl7bcEa87Wd/TDIzbo1pPRQNBqwEv7L0x1wdc/Xr8rA2YwC4
sv53Tpl7dVmLi1RRE1DXEZsPFLlz83ZYIFLFU/rmDYb++WpfqnmJKnOJ+VOS+absfwmW6MnRvyaf
ZFaJieRWCv6SZqBWAOuLgIpV/dG0DVDfGo1rWJywTa9glzySCdulVaQaYCmINcvdOBLVutH1w1T4
MYTCuiuohVxerPMSEDM6JmLX0CtNegH2CjCzvARfLVF2y3v2Hu7LffIDqCA/fYRDvmuc2/DW2ilo
f4EMHBL7YP84XTtdqbMmKK3UrtDtOr6FCVQ2eLzgHBvfmKOVf/RyKuWowYIMPA0gcZQSGd2zkLW4
PIVbN6nVSL6zPSsrMnRqRr2GlTxTHuVRcVFiFYcxBWies3m3jnTc3yEZB3QXlO2ZzQtFLbWxImjW
QLQqbLwcwhjzSx/3pNeux8C/PKzNyVsZY7axlGn6NEgwNgajq4f3iQrh6uH9spHNuVsZoR+xmrsA
ERC3QhgxcOzJwzHXvQyZdzHghdrN0UA8iXYco2mdffmYXREuc4sjvAK8p/yYhpHMWu5oktvUsmtG
DxnkgKQST4TC7htnVm6j6a3pOZ+xOdw/X/Gd51wNF3CDIRYqfEWRHPLxbdKulOwhEDhba8sKbc+H
HKUObt7vbMHKimXhDNdTSE13y42aOpZ5I0yOyVMJ2JpRXK8pzTN0qYDIOV06vRqidgQ4F7WMCeLZ
ry30R8eEwwt0nmJDeDJRS4DKDUjuzl6O8yhBQp1akUTo4/RZnalQayrBUCHX0KRC/AePD/R4GzdM
zf5omkuFzoFxLo+TbrTouTYzs/4cBeRKoalYhpZsL0nUO2aYyZ9im2kJFOxC6CuWWiHWXjtDwMtV
zbzrDsOgTKKf5dqEm0mjVqqjKkXIq2xuLRYaqAHFVZDaO8M5Z0BfCn0Mgd9akp0icHMJcmIm6ed/
CwajE6kBpwqom4SbPnOuVJWk1IKBiaybEI2pifGVVRqPaIPGBPbwMkESAKEBKiHEQn6CXo0ECOXi
0VO21zEURMMi4sTAzfmyoBRG5WCpHhrjdkPU18sSQ4sWWA9nmn416IHSJw1MBTUPVrQ1HNTr0atJ
4Qho1Di1FaDuUM+gmkAfQU7M8n7I7i6Hv00DyNhJQEfJQH8xgwGnqiZkGQaD5nwcTvuk+/gbA9Aa
ArsWYsF3rmQdCsJkCi01AmPEaPy2MtE2oWPDedp/H3DsqqMrGB3WWHsNcsun01Q2cl43CYqKUxv4
UuxaMl60uSPojqI9hcno1MKhMCkrIMfy9vT9MUz/fDW6oQrBz5GlmW3UxRsYRW01lDnbZsvd1mNj
DiipzUwISWNsYNVCZ7KjTK5gat6scU5bGi3P5pCiDFTdkPDQZDwBbeSGiSp7ZjeGFNhR/THRppHx
uRmSO2sCKYhaZAcx5d3CNocHsTd0mqrwEbaqmaP82AUDzM6DHgF6rThpYrxnJbg/hN+XXXHbTXBO
ULJ41PHYopSIZHGhU936oVJsPTgY5e2s30TxXlY+y3qnafeC/GgMu8tm6R49m1gdBwfK0aKK9/up
j6hxOeNSgBHqTXQno6Gz+F1DfNRMfXX0LpvaPBHBbvPNBqCCMujUVB2pMtq6EcqF2roZY9mWRuXQ
hal72czWmiHR/48Z5saetWpfduhUhbivMhBlBO0gOJ9jSJYlfcaZPZ4t5pBXU/BogwUfa1a8mtl1
kR6z6qbniVyfg//p4YSqKxCKEFE/E1EJ83huFZzGNh4jn32b2LXYEyOLkCpWSR41d2mROWX9Hjc8
QejNEKJ/ixcgKwk1ttM1K9UhMmoZ7lF3eN61UoOGXi7sm2eEeecnolHAM2AkHtOnMRAfDbDSX3aK
TTfHWYWWSnq/ZJuEhdmwpkXASTIL/WcdxvtqnIEltnbm+KtuBo6nbz1EAI76xxozIEXEIx9w5czu
pQUXabF3kXIl4fhmRsJzMFg3kvZ8eXznMA+4CPr8IeyLvn/IlDObSzMUIY8FmCyj6n4EHkmq4p8G
KPBBUkRGCJZrheR0RVWRQHlRrNmRe9Xpzco1Gh6JwvZc//kUZgMGAJtmWY1jx9JGuxaw9W662u2B
KMp4faIbE21AFRJJc5wMeCkz7tk28lLn39qPEwTfWz8xnEgDRgowWvOXwOsg5FljljXuzW5Y8gLb
EO9lfflZhy9TKKNOgyeTdaXzOOE2ggsoUwC1AIQE+D2dCS5t1WiLPPY4vjXDR96vF35r3Q9zqZ3L
vrNxthq4xeEBQZGXZ01R6gRu+CYfMjuFKkvzqI87TbgqVPRDtaQBV1lfcQqjW/MIdjIZbIUYGc7V
06Bi5j0UjwOcdNlyN9V2VEzXsrvvE3foWg5bwoYvol0AGXB0fVkyhnhqShT0JhQrnDltb15PuFeQ
qYe0ugYoYpAad7r6b/UWAeiCQTS7KQqaCAFwPzW4hOUUpAJCdTLKfi+YpENJY8Q+u7xmW76xMvNd
4V1d7ZpWrrSOmgnwLEraI/C5QSV7k8yJZFu3EtD6A0IG1TZ0An3/+cpQbWl9Vy2UU61qoCqLtuGU
dIVcX8+Zei9MbXxvxrPyEdQ68IlFmXpRovcRuoX0orYvj3nrGERZ1kI5EGtJcVWncytEppx3JroD
l+RQoQFdG9GgHtC7O1EUTxAR0FBPseq3y3Y33XVllh5fqymADl4+DZGM+/sk3NclNmKkP5WR6QvW
clcbCZTUuFKhdCjMtexkqMy9WgumQGkLJbMr+XOq3GnwZXUfWgfD2hvqrdX97HOvRrevluzHgPOE
3IoH62lmgiqayiQDdJA4jqdfsfhrlL1sofrKV5poh1ZLYl6SlTfBTFxd2qCOSx0Gy1mA/NNzvfzM
wRsil4k95r+kaHd5PTdjgqnrACwqkJln0SD92C1lSJtMOxGNp+2uM9BgZtriEJKx5aSrz5kUaDxA
TgEN4WjXRivlqfOk4RQMQoyxKXolIjceAwAyzlAky1U0M0vBhxomlZtGo3wFJsAHATyRzmh0uo0E
sIVDPOK1D2yNHiADKOOgqI2nNROgrLGqE61Q4VmB6Rpada0mftJ6ppD6NaSOLk+1TJeO9eOVNTaj
B8WzsKvQlo42qtteAltH3YA4prtH8LKjUnXGPHGKRj7WkVdJjmwbez1+rJIDgrSQ/xDBOno3OYIj
JZwP27hyGlgZ1MGRPkPDHBtKlFZASg2zMKEumtbVLY6G/eWxb4VosCKh6wr5BRNdjacrD8LpCOSF
NFqlsZE6MxqtGshloY+8WerYiyere/j3FgG+BagRZGtIyTC+NtSomJkF9OuWuElu+7BFnkxc0mM9
SLEThF1LLtujI2AXF68RQFeAkQBtMzOJeHxoApDMeJS3ghP0+wUeG31etrF5AK2NMNEXwgmtOEYw
MgiWRaYqsadQcDNNcbpkJOUw+QsyKUVi3U+GFYPs6jfnAzaqkGDq+rOOdJ1X4V/tu1TGfR6XeSux
y/pt6H/qiztKAEs8T/Ixj/CQeL1sc9M7EZjggdik6hmBqyiEadLAdf6HtC9bbhwHlv0iRnABF7yS
FCXZstu2bLftF0a7F+4kuABcvv4kHefOSBCvGD0novvVJYCFQqEqKzPvQbBUtIc+XBuFX/ROQF9R
WEVZCoDe81VpoZZNANZg0r49qPmtDfYRfUv7x+sLWQw2mCAGml8D44ctnQGnMpraquZgE5UPmaHc
1HF9HJ1kE3F+H0eNf93c4r7ZyCpBWodZGBnrrnZR3xUQTfbmoa3b1qrowZqc1+tGlrwe7vCPEckf
oOsCMScBI6Y5YFawdpU082v9x3Uri8nOF7M78A62fkHOmCOZLdPMgt+T4rHpNS+lbJ/08U4JGUIK
2XFGb3vzt03/U56FcquNCAnnMxzpXIMAI6ZhQvHw4DhlybuGIey40QMRh+CBLbaF+dFXwxYo7ZWo
fIk5BaHZl8155g5553wWT86aNnCwK5rTnHrQXVWCXGCw/Sh5NUZ9pyjWTcuemyi+RWvFpwTMkTqB
lhamDFMkKJ39QtJ4RzgBpOfn9a9hXKQoXz8MpW5truGiQ3D+w5ooFRXgzDlE5ZTWV3iU3cRmpepe
TpP0VQ/V6d2hOd1jXLAHY+eY+Q3v0J8Gb3jmRd0UujUEWL+XDVMfylBPQx+kt+Y8LZ1x4lb90EE8
DiPBkGe1DN/WY/aLpyLqfV0phl95mULnK2ySoCUDuGX6xNI/wRBg7st+zG7HyOGDF0bN9MRpoz2z
Ts3ew7aegXFxG0DbuS0OUL2hd5kqqpUa/dLOaKge2ngdLAHKANkURQs/tSH+tVWsSd+g27tnrGn2
hlEV/ug44axeJlZekReHfaa3nkmqiI3JEwDazj/J4MR2Ok2Qm+/Yc1iizGCsgQ8vTrpkQbpPe9Du
jGkRFyhYMmS9B4vfhGt6PRcRcrZB0K9GkQ1D7DLPTTECz077FKvQDurgc/Eu7MDI9mO/Era+XPTs
tv6yhCYa+GVUEGtJEZ8bqR2NIbIDDkK5zp+h6naA8OXqx2Q/eewRXFMrL4nLqpRkc3aek/PslHon
LLwZvSEgf7LbfuP407Y65Pf1HjQbgblf+2QXbxfJoJTd5mbXWLaAQXUbPRUvySHbDxvmqU/X48GC
0+Or/bOXclprsiS2+mZOSgI7AH1zG5hYjlhJA9asSP6XljFq83N+Nfyc/OgxPIDvVPH/mmnpfMu+
UvjTbxTpIciNYSU9hGB0jL+3vtgkgb3SKbq80CQ70q3CNdKh3QY75FELxK67bTaIC2/5di3pWDy2
Jx9nDhwnC5p0u0B+AEOWuptCP2r2of5y/ftfZqVIeNE11PCERNTDET63gQ6DULspQZk1f2dgZ0Yq
U4nNaD2FduBQyOb8sdWgsleqWRdJ25fV+TE5n18qT++YMQ8tyJoXXjjLWyedm4S7GpdAtXZuZ8+S
YgWWB/rdmfsPdSzJ87Sc562OmTKvtfimMmrADr9X6htufRc6RBtHgDO8VfgWCAc/mlbpBxe+IJIe
B1QfEFABT65knpEwpaRCigXFtH7DgnJXHYzUY7fhbq63bsF4VG61Y/T9+ldd2N4zs1IdIk87jcRs
fqy2N5PwFOMXcBKQiV55Nl1iypBMYMIAgwbz4sBncu48KPqKDt0wFMhFA2X2OI7FHdKD/k/CUY5Q
CQcY2crY8OmUhN+XQ8+guCcylAmgS3bT20PzlGNuNQLv21S8NAnJHupc4Z+MKtPK7X5Zv8BvRR1T
w4MSTGwXjZOkYOaMPsk9/ZG/UrfYGLob++p+uqmCSrjqc7u7/hEWrvUzg9JHgALVXDaGQdo+GiAk
tNfIMJa+8umKpDjUkahzFCRrnmZsQGNdKWiJJKqXEv/6QpacGEVgoEps1J0vhkmUWtQ80ZCfOBa6
Hzy7Lw3U0kWzAgFa2C88j5GmzyyAoFWUrvWyEHXaY0zC407vJwoSz8G7vpClFAWTveDZMObZT/kR
14OxsRcNFqKPgBhv9HIjuO62wOU32pp0ycLHQa1kRk1p6Gahbn9+NIRKWC4wiI7ikCvKj2b41lWb
NFvz6sUlnZiRrgjR9zXIxZALjVt6BKWM7lVP9m3+LXxIvO5PGblZ4uoQw1b8eiW0XlbEcA06EIMH
NAdve1Dina+QGFkXZhlWqB3NI7khG2WTfpLHT/Me9UfQ/O2d0uVQlXW9ZG944y6FrudKAFpwmbOf
IB2xzKSJ7ozzJpfvlnOXrgkmLd2OZwakr5iqiTATCgPmTyNxu9BNXOESP9EhHLrhn9ZakXUpUTrd
U+lzxkkeizSGh8Z7fldhbA7kz9OWcHe6KV3tUdmO3yFR5b0az91KiraY4Z6anqPASbKhKLmREx1L
bd5AUrtPHF98J25dudrsSF73lAV/HyDPNnc+QicWYyBCRZ7McWUoXVXZRMNfN/0lF5VCCnQAra6Y
11Tq2d4S6a5iK2tYPub/HoL5g56soYbwTD2NWENdRgE1QKc3fLcwAakF10PXoh0Q4M8TfbOyleSI
pkABHbQjmHDTHicTLXjnR2fc0zReCZELsR6iAf/akRzQgrgmNEjwUoyUh1Hctf13ha952hwYpJzs
zIbkaZkV6i36UGAaiZ7SEF24YlOi+RT1u26605vHpNyr9Mf4H67LM7OSu6F8TpXEmYMF8TjGPnit
Qoro1lj7VGtbKDtdXGGAm2N5oXM02bcGqFkj86+7w5oNye3GagoLvYONJnqanF0FEk+yOje9GF0x
zAnCBzzdL4qQHHOcEQHa16tBWc1Nn4LpCxT0eenZ6gvk40jy2uTHFtTloQYV1vxZWcs8Fp9amBoA
Xgj0E+Dvlty+auuiFRXcnteBAfHwIig1cBHXoFqjICHqXXU45KtyUku7i0Yx0Pc4CfPz4fxQd2Zs
NeNcNmz8wQ/37HPCSHztUkwyR99Mj92pT9AjXpMyWspQ5/70P2alj5oqRopdAG+etbXxrhyCyHWb
28Hjb/Wxvl17xi5FlFNr0sPPtrJpbDQbFcpix8gdZlKdFrj/zXVHnX+zfNZPrMikdA0tHNCFw4rZ
vJXMJ9OdA60QsD23QxAWb9eNLaYkp9aklERT6mGqdVgDp/t28CN8svSbfY8UKHWLLd4/+luEelH8
dDRuoJuZ+pC3E2t6Cku139Pv+DUefnInVANnXQjJYG/69pG42d20A53VkW5+6/s2CDFow9A5vL1d
m5Nc9lrgpiyApsELLnntxLSsclSkgnnjN02DMrJnK0/Xd/j/46P/GpF8tJ8A+m5GrK0LhG/u+D1q
ij+KQ++HYFrvd3wtw1vMwBCD/lmV5KYcRB96q8GgvtXyINwOz9Fj9TZMnma5qrtWxFzcQ2D0NaTu
IIaRywUYJyC0nvO9pETyfOjSXb/2zFk28U+1V5afr/om7ZMBIY0UqQvA9pBFbitWrvGF0H1W9pAS
Y5FlquIkKHtUyeCWzr22lv0vRA+UX+fmuw7oMKQAzkNkbkP7p3dQwGkRhDPlz4C2W3wXr10AC5t1
ZkZaRxcbXdJQmDGiQ5QeRLwzw+C6Sy9u1clKpCtm0hWnjrKi8CDV4Pet6rLo+bqFtUXMv+AkHihN
1KAegUWg7wJ83Z9YdK7JPq4bWTqZFkjsMHwPVOgs+XRuZQLSGRNHsJJGxIXwhhvGOXiu3bK8R2kG
9gbTn9oNq14G/hKuTWjOx1CK82fWpeQqUwyRYrgQ+alIty21j6oAsgoS2JFhbUDM5qcANJVOu72+
6jmmXTMrxbwkTyO8vrHoyXhqw0Nu3g3au9F8GNPKgbr8higc2CAeA4U0epgyhLEA56zVqjaE2CsV
Ek28vi8sBcTZ8Uph9HIfgeMAJoxAsANFg4s8v+N1V44WZgxLzG3zOwauuBrMasZe7TBY+1D2K82n
pYVh4n0eCiA4BTLMb2CFhQFwO/NywNm1lyx+Utr36x9pxYQM8TO5VdKwgglm8m1D3gxu+e3aCM/C
+9WxwH8HKigoVALnIPl/qNEOTySMJE0Qc/njMK/4Q112C02jrnHtD+XOOmZ+tbu+tMvgcW5UcvtR
YXbfDzBa25idBL95vxbJF3IamHBmyCLUDTBrLUXauuuiOKlDmNiUzyLIvSJIt+WeHvJ9C7iuB/7W
8tXeMu+xd+kh3dLD2vj6Zaw//wVSEC6IYpVqgl9gCxBW7019IwyBO+v1+l4umAFTzVxghIDDHEzO
AxiOF9gJeIIF8heT3hpDYKvPfA2i9wULOw8ZoEqDh1AI0mI+9Ct7O4nGaqvTusgLZKRu8ZS9asKN
NqnmoazjJjfJNvRz14i89E5soqA40tXscOE0nNmXEpo6n/QWSlDoXt5MgebnAXnX7sdAd/MX5+6X
vf3x6/q2LlwMZwuWW3wATjVF6sBg+GFqbq962au4heLaxrzjQ6D9AezTXTF5GZbR8KAAjAHSPtc+
pTs1VUelMQEfxgNKOaYP9b04AtBuHSyG8tm0pR+aB6RJ6EETeK2hueRFzkzxgFb+XOmVwoCpjJaW
QdMMQ9ph7k51+JSr/L6flHavQbR+5fwvLfTU2vxrTpwps810UgwMDpZJnbmE/RjK/FmP3p1J343d
n+vbuuA5UHTBLAYuCBMTkfKupiwO6xofklYQoVV/DCN3LXa8bmQhojnzEdRAwAjNKrlGPmhDV9mU
Iy+d0VAumoP2I1JAZ8Url8xYBrIVMBIBX37xmRKnSG2lxxMbhX4IwjDn71N5B4UL0DCDHBGjijJK
IKGJUugZgC5T2fq6/YrhYjdeG6tb+iSgCAUKdbaFUbDz70/sPGG9g0ab4jyKNsi5Dzjf9Q+ykBE4
BBQAYHXF9NJFg3aMaaHVogMsJQyy6S1uejfF1A/atFqA2TE0F4q14/ulDiTFSNw46JJgWAurkvt6
8aQUNI4wH2IAnT65KglHrwjV8GEwbPi5HaOShs1kxLMdwX3ax71baw6wKyh9QVwDO6+0HukVVPyT
qe33fa+Q1yJs8RpJVMF2KTOyyRcGEioVKu/xlvc5uI4FkqtD2/T8gHZjc19rY8RvmZ2QB2uycPNM
4xTo3RjfWnqhfuhjhVGIxGn3HAcx8TQNE5wumYhWY7AlUxq3jqj1p1CrIZiIM34mymg+Vm1YHGOl
zb4zDJLfEpAfBiZsPDInsm5ZWeqxXwxU3JDcst4EcH5bPRvjed6i70Zfi5Tyvkoc4U9qDoWIsVHF
D+TdQB7rkQZBHQv+5jY9KKD6summW2DT+vCBKqrxLR0o9I96atAOQjdxtbfNeHxlvIkDOxE0ciut
wxBEn1nbODGmBM3qioG4l48AiE7QzfmWgz3sLaun8LHq2gS4MdusQVOkpL7Nxr65EQR8YihHx+Vt
ybLqBp/RiDYGzcbfeq1XhTv1WfGccJ2hfGaqalC2bfKn7WooBil2U6IIZNs8Q7kNZEE66bv3aopE
7IrYST+1qDE2GConUA4sc+NA4hZV9c4K18Z95yKC7H4wrqHyiEE9TJCen6oEuWqs1BXe/MXkESim
6Eq3nVKo1HTMwxTr71RZqzPoSwEJwzVo1SHBR8CQbIqiruOoQ9xTjihQlYe3ChITbnFHQHZ6L24h
d3I077NN7fOH4jPeOEjD9FkR9PphX/wVGEIHOS2IjjFAe75yM4xsUhY47EYWWGCt5sNq/rFwQTpg
YvnHhHRlGX04VE4HEzQMTO7qd6P3iTqy7eoPtPSNx3qfHBqX7tcu5rWlSekdK3O76nrYjQyAf3LM
8pX7/9vmSbWpbtQ4WEbmSInz1Sb3g/543cBSKoWUAnkFAMBfwPTzz9Ph/VGV3YjcsdKVD1vY9nsZ
Rygi1k6Jrg+d2jwoQgo+BFJYYnK7OEx0H7Dr4lcTGSn8N2lvWdKLtcm3pc09vU6l1CCPwqGPCK7T
nr8oSGmteKU5v+Q1pwbmH3CS6DhNl1U65Ny8utdfM73c1hR07iO7KfX/YOn0SpVeG7QoEVFSwDDb
4SMzLT/lzG/KHiCWNarCtctb2jS14hXrFVze7bjTmpsWT+015vuF/BADEwT5KMYmzIux+0SMukA0
QzaalUFhVkGxtY5gF9+QUNted841U9K+DZVaZKOC2nfIkh0o/cscsMTO79S7+K/njghSq5NVSRs3
aHYkshCNCowI+p0FwT3i59UrUWu/VCzv+rqWLgMI7kEoGrKsFlRUzz2vjirBW4ot7JmXtInLYs8g
O9oYrjns+3TNKZYc/dSc5OitlpGxhBS2Nxbo9gt/VP+EwhX56/VVLTQJZrkJNLYgD0AsUx5bgKpM
E/dM4Bm44Rt7R4+/0UP+iSunQa8pcY2tuutv6Y699dRfw5YuOT6SfJRtZ2XeC0CPxQdu5iZsx0rn
AtvtACeiTdXm+hJXrMjvzhEUOlYy4kZN49J1YoyoPlk8uG5j6WudrEQujhQTJpCyESsxmWlte/C3
oUGo3YFXVUNbOUyP/zdz0hlLRlLnbQ5zhvEzt39CYxHDZ4Mbp9+v2/kq1soZ0Om6JKdP68LRlPkV
lvygzypqje50QNEMl+fB3qChBd6VeydIPlfMzkjzC7NIO5AGAR0FXtXzs9YghDQhxyyNwA1amJh7
f+L6URtRxk38uAq6cR3ZsHS+Z4CkOVcKMEktLZXGWtxH82SNUZXMY5NxW3F+5D0rIHp+L9BkVugK
amopVEJ7wcISVWoDonW+TGTCvWHPc6FKTziIMR/MjIO7NSnVPXPqNyggrPXSFy3O2H600iH8Jgs9
WbwjbZ3hqqnG3AYeQEumXdYn2oeehUrs1aQO822BkZSVrsBCXoD5E0xIgv0XzwoZ3YtPXGYWSBO8
Mjb3Fb+zw3p73WcWTjmUewEehswB+nTy6JwCwLVDOPDDapYVG3NSY99q2gFIRPv3dUsXewj2JCBo
Uf+YqQTw7/yrYUBu1HrKS490natD5ZT/asijmfy01shtL6LKbGlW7Mb7F9ND8tfiKe9srRKlJ0Ch
mqqdbyQ7CxWzcOUSuHB9yY60orSlHBVRrMiwIdbKs58OJmtBhBZkOX03Q3LDsjXA4JrJ+XOe5HF2
2aNiNcEkHhkgRPPj+KkdoUBcgTPhZwxN2+vfbHkngRMEEZB+SeYxYnIz1+2+RFMK3RJxz/rUFcmj
mf11ojVvpQnPmEs9aPlIhZgJYli6WsBQm383izslDxrUFkq6qftkZU2LW3hiSroESjZQezBgalRA
1KS7esE3eX4TgXMoyw7mX2PYpJVJ8dFIjFilzbyFoK3L4vA26vvd9a90mYxINiRHLKDtlhA+7974
UVpPowbylcF1xpsuvWmmIOtB4+TmbId+uGKOnpW89PTJ6h7QqAJ6/nnl18wbeHYLSb9G8tFU51Wl
EvyaRoCi8RbidS4qkq4ATpxZtzRsXF0NMBYZl5tVsd5LvMFsHDVJzD5iyh3N1PMDolh1FjntWAK9
pb9nSCNAP3ivgAjC0bLtSCH6XAIV1HyUNEcuGhZrn2L++xeLB6Ej6rs6VI7k6xCvhbFPlJmcUrMw
dgZoMugWS/6iWuhQFMZOAc5LFOEPYjVvRF25GC+baFg9VOVRecFVpWPU9Xz1lcGFlTtYvei/96Xl
hzooMp3CM6P6NaT63q7sDRsgKjwOm8jM3vq+3IRWd2gK6Nxdd4Ol0HH6U6RjZoamAfVwbAT4alkU
b1T624jv1Dr6Lzt+akg6YFAEVfEkh6HaZl6evRrOVlcZ1LOeLdQ2FTx1Reum7MGIV3WpL/Ktr+2e
r07wdasoKZxvNwVVragptnuuiRhsY1q/DPURXPHpYG6y9Fs83hf65r/s67825/B2cgNMBCeL17AJ
qoqp3uggPcl9Ky36bZMnw7ugrH+6bnHp4sZC/3eVF5R3Ymp4TpBEgu4cmuhhjZvbviuTY0FLDyVd
/7q1S/Lzr03FACIEKJD1yBpSOQhXKq6q+Nux48aTp6qPJsldZj871mc6y7FBvZ28VeE3/tdER+em
5anfdlDMzBlhuquHAHQjBed+YaAGnq3FyEXPmeXlLOjdI0mQPMduBmVqdFgqqtc4DJrR06M7VJrB
RXwDXJs9edMawd5iaEQD6h+bkufY05SXWgWbFpR2MzvIVeIp4cFJA8W8tertFG4sxU+0HysfdD6A
ckg8tSt1TBPhKDzXYBcjIl5D9013b1oIhF7XHwoO5Hjnh3mA5wmGOUJrbQZgMQ7hLYYeFYhbQYBy
fl60Nh0zWpBylvF74X0KEmsI38SvubImFD//pYt1nliaf8nJyewGkatDD0sVWM5YHPuGSAKm/DWN
NZx0TtlBGDyLglwA0DQxgMdFw4IUlNjtNI1cJ0LMKQn5yDS+MtKwtH2ocRhQhsZ/IjuqUzeFpqhK
6Sl66YELyKVdDPb9+jEka9J9S/t3akryTwNdmMhAewZljaLxMwNUq5C4tHxmrZF4Xr7P5z08WZXk
kjaIBYQoYKoqb1v9Q6cPFugS60PMfqKvZUDUW3vVwp0uvlfZkzYAqL+9fiiWYurJD5CLK+UAOBKm
v5AmVL+K4kZ1DhpJPUd/KJK1bv68bbJbnpqScgJRh6SlUVR57WT/yeLXrMRwvyV8hiaMw+JAkHxl
cUsWscH/XIvS7sZTwgoxXxgm+ZUqtxlzlbBy48Ez1Ls0XzvgS27zrzXE0/NjF2r1mOoM979dVjdJ
1e5YGyLh/H39gy1Zga4tThyGUU3gTs6tKKmlZK0I4Zyluactf+Es9msRbq6bWTxuJ2akrMlw4jzR
CMwgi7ztKhJMMJEM5q4p9BWo2sJXwvg9pioBXrQsjKVIK0ry/3VBm/btJg8J9Xu1aDCSYD+knaL6
ZjPELoCizUo+Mb9GJIc0IaIEjmsd9i2ZVKZk3IqLIq7QhUmUJ4MXNohRHbHihLOTyVag4oz3JMK+
g3HB8+VNtRFWhYGHcVG/QjNJTQ7j5Lbhh0NHF5PLrrYGDL5sQYJlHXVuQPzBmzuTbJ1brCsBkr9a
rbzEYa6BIbqcC5dPtjdylOJ6c0f1aZPoxM1MZW9wzbXtaGN2ybabQG4e9fdJCRy21W8my35WK811
nHyb0yxIaeazknoZiLSvu9uCD1j4Bga8GkkIcoPznzxlqCfkigZdHhtpcu7WzsYKNzV/j4waegIr
1i7HQWZYCqCt6AWgcA0ev3NzjYOCgj6bswvM1Xz2mOdGO8oyH+1pp/Wbnm8V07u+woVAizhkgwQU
zT3MOUqvA7NyHJJPpPLAyOAnEZp89qaK7hvnUJNkZX0LhxcOQHFNgs1oRt+cL28c+rweGJaHrrzP
QuSrqZunv4ru8fqaFr6aiWF4dB0wto2Z53nNJ4mGLUolyQTWNHRbU0etLt5H/bOe4YXZ7WxE+v+b
ufnnnJirtGZS7XkLh+ilorGr0ftUfIvDl7IXbvFfHlVYHYbS59YG1BKlXSxYnQytalUeSGdyByLa
nZtmmt/qr4njtuZ+qu6q0L2+xKUvZ+Oz4QzgKIC29nyJkc7NIc77yhON34HssMx/l+NzrzYrW7ng
jSAz+NeOFN6jgkKBRENQMp2dAFOr5ZoKQe/Gy9kqCmj2bDkA4p4Cr5YOEBA6b+drGqOhaUgCW7b2
MJAHZfB0lCOg7cc74Zo0sDW/YkED4FZqbB3x+/qOLp11OCdMgw0Y/2TBvMKyU6sYhy8n7dSfWf1h
m4Eudox6qgkgC9/mw8q5mKPVxYpPTEqOGnfhULYWvqIFQYlposfCWBugWfyAJyakCBZbxtibAiaU
Oj7UZhMoUR2IJrkzs/y7iMcVdPfSm+10F2XstW7lLXM67KJd97+a+Judq9Bpi76hongDoeujEjkB
Rdm3I2+ts5ZZLT3Fz6xLx4JWtBsZxWrjdp/VmzoF4xN7UvivMHp14kPFjtAFbIxnRlZeHZdIDdyl
J95DpYOSKLpejg4sN3XqKw36Z118MK30W2NVLy3Lg7F/Go14q0QCTPjH0QAQOF8J56ubL90dmWGN
Vc+w+Vn9Kw8fed37HfWK9JuovVzsywmv9e/tGvBxMRbNXWWEIoCo5MRlHCN1KAmsxppfdke7fQj7
IC1XkrClOwQMTP/PCpGy5iwNeaWYsGISZEgcuUowaTvd/NBn9Nvz9WCwkIuhbATllJnEBeMX0qlJ
7LEkGhi/POq8KGW2tdjrSJVjo4KHs7IOqQn0tLkmQLJiVC7mgMFGU/oORkUFSpwXiNWlKDnE0O9Q
D3aUuNaa/tgcUKXwgxFXNELBlgceMvmJgCErGukN8j/MeLNOd/VmPwJ7d30rF7zjzIh0MMzCKsIO
vO7eNDx0qOOA6RLSJ9i+lZtqbTGS7yeKo1U2m+04n8CsorOADusab+dCNEX6ickVVDEwoCy7ellj
EjFDq85DZ5Xkr7TaONMGwqYo1659nMV9O8l0pfVQHQMQlQpTLPw2id91f7Sjo9mtvKmWfA5EOvj4
gNjMCPbzO9dp40oPHaRKVRG7Vban2ktcvTnD4JrdzwnoS8SMv/cHpO4A9OCKB+RQOlpjbeVQboFF
IG5dpQuhJRAdNLBN6flfQ2uQvZ+YkmsW6DlkZp3NpkBoDwagnaJ/B0eiO1XOw/VFXYrDfpnCE2oW
nENPUMpwW1CBsSEyK2/smvxXGUbVp8M05a3XW3ZsbT00N2OVR6CdjPNDPk32wRpByb3VNBrvM25X
lesMCekegK7W+CaZ4lr4qlGIlYxjIYqika1DrB74brSbpN1n5jC0fLQr5FQQ1dIDq30wQUaUYybU
qGK3b96vb8zSgQHqAVAAHVkqGvbn/hVZnAnWwl7c1W5WARn8PiCBtNQHJ4lXrr/FtaHti6Y9KvEX
zQ2FNBU35rVNdaOBYDYeN7rN7pqIYc5yYvdZXiU7LH4F8rD0jIYmJVp4s9Tn5Ystzo06QVGTYeTc
Cl8dyEY82RHRjlMy6JpniLx77y0j2+mkMP/UJqc/6BCLTStALOgO6PnsAaI23/BgiUYX/CHOk5Nm
ZrZVKtL3vlWLON40wsq+mzHk1grLaP1UabQ/0WSg3qFpkbaaii9U+8HwjJk26G1BPUoGRIcMPCp9
BvAzq951cqdTqGBYj0x/1PXBj4eblmzQkrzuKguf78zmHBBPXm3EnhpBnJZ5So6mZz75xfhjrqua
ee52gO92aOdft7jUfTwzKZ3aYeyjwSazyWajgpWLbMHjPfdgNXvHNJDEsT2N7lBn6uqgZI+Mvl7/
ActLBpkZVJIQM+Q0A5ctOJtyDpZF9Y5Vfts9OR36cuBIRu8BznDd2lKOiuX+Y05OMDKMDLFQw1dN
VWAa9V1F70ex57WnYDptFgAIrVcG5j80eaxfQ7Om4bb0wjqzL1020FQFO0OE5UbTPoV8dPIdnNSR
6o3JS2zsBvONRenKmheygjOTUvyBZjeaEvMO6/pjLH6r0C3kf65v68IVemZCuqiZEPk0qNjVGCLD
FfAZqhaYaK/SYldMfjN/2c11iwtBFexXoAoxwJAGOjxpH5Veo/1kTCAzpjejA0lQx6XNZxJu7dVv
tmQK738InBBQraIHcX4oaVNgFCcCEnZQPqrSNyHG42RgsivcYVqD1CxkPJj8wWwT8iqNXtQ0SAc2
HRD1QAe3QBezPCA33aTpT1Hvrm/fkh9iqgRvCcS2GVksHXtNqFYoco15hJvAL5c24blLchL7fdtV
kzu2qh67kFkvD5bidL1fpBgX8utoKFaw50vuqYG8FgIFkLq8GEEVURw65ZjCd2oM+UTgd8UAfejY
K7nxwleEJoYG3QaMu2pw+fOvqBLV6bQpY2ikujkYlVX9iMYpzT6NNQbRpcMAggxDxeQYSvQyf44o
MWVEQH3oOWC+LF/ZmLpqewNivUIZtkUV73HxrXzN2dulV8xMeQdWTwrhRpRuzhfnKE3Daq3C9av+
UbMtUlpX44mLGX0xZEFG36vqNTJe03KNlnVxV/81bEsv0oHxTO0MGCaK8GoOsgPFT+mDGf7Qc+HW
fZCEN7TemtMuoV5LHhr7LYnep+q+XWXyWSgkne6BHBGGbiwEt/BTFKXxTDhvrwFIBBVa9Udqt57R
7PTiEE1+ObqRAuyyF5bDf4i0eCkTjKvgMruYPLCN0IiIUeNPO3STmt/iGHwp1fvKx15KTIDrm2lc
beQgMnuAbnd6EVqwItCN6INc/xEWW2d25CZIx5smFZ5l85WlXdZVZsEL7V+5hvkYn6QmFaSTlbwA
S0ukFAEpt/b0HoX3ZNx2bbThzaOuPjvGH2iEX1/txVeVzM4B88Rs23SGUxgA05ppFSioeVrD36bM
swXgriCVAFZVgKHPLTSRFhlti/miGV5oaBtNvKTKlig7nqVenqxNm11EeJhDqwHTuziswB9JF5c5
gXbeiQH31rQD7jAv7YjXph+VkqwEhaWdOzUkXfstM8uotTGLS1h55FP5bKy+Yy9C97wWkNrb6EWC
ye1rpPXk4yQkzA1HANMdd28OBFZrUGWshO2L9FAyMa/yxISpdnldfMkJ9S9QzbATUDIS0+MR4D4P
9RrsZfHjnCxIcnKaUbVOQnycMbvRgIRUbOb2Dl4oa1CCNUOSWw8KAJciw86l4Y3mvIj8rmmf7Hh/
/fAsfR/opmJ2bo4URMbcD+nkTNY8MxTlDhhRlXfGaowplY/XzSx52gw1AYesjv9yDS2MVXMiNkKD
k6XkVg017kadlr5ct3L5UoErAIhO0fomILyXQUFql9ol8LKYz+DKB6+Nra4YrgLy3dHM3H6ID32L
GOj49dgElEebCEfKYZGXc+e/BEMMiBtokSBpuaDIM5jVY8oIL4Zm6ohbJmJwM0yNNqSCBEPl9QoF
CRTI61jitunkVZO18gvmoHR24X/txb8/QDoWFq3zwp5HYSzIh5Q8yOzbEjwlkF+PCnUDLC/EqFZO
4pLLnq5ZOhtm2ON9HwG9RJshSLrPNtlWveFP3efKd54D07W1SWfDLOmY2BrWNpqQtCjBU8p6EFnY
zU0EDngXT0jf7j6NKdvOSNhUR55jrAFhF6+709VK+THJhO708wa3GEnL9S3pC5c4vyfzZ219jvFd
B1hlRrYtX2keLcU71IhQmALLL1AQ0i47xhhnUEJHSNXSXWRTl1Zg7k+PneOnQFIK//pmX+RvX370
rzlpr+sK6iwK1I+9KJ6+l2O9EcS6YRzthFnkUKN/rptb9CETectMN415XikJxyhuSlHegFgkd/yx
Ri/zflK36biWDC4uC+OSICSZUd1ysh8nU8VJAjt1cZwPhai3gxb5Tn3nrGm0LZqioHICKkcFfEC6
z1lTxFaT1ggFquap0c5Q/P8h7UuWG9eBZb+IERzAaQtOGmxJHtvuDaPbbnOeZ379S/rFvS1BDCH6
3F6czYlwqcACUKjKyswKd/J/RQqnwLoWGst4uqrK6LQjZ7m8CqPJGNsOktyW1DqtamvSQ58cRW1A
r/iuaTm7fe3qODe2/Jize1eKEuC/dRjL+yb3+lgSKWaO2q3cKS0nBnmmmAQsSeaKZBJMKcNBnz5S
4QTZMY6NtcADgQsyPOBlMBnMfCWpAeC8iBEQZYcabIduM1g8SlkAMpJjadWbM0vL6Xa2cDG0h2az
gKUAE1OCAsySf+j799v7aO34P3eH2Udx1RMRk3vIiklEK9CwVRGVVFTSn7Opos14rCrntsXVBTQJ
AIKgoMFjnQk+XDZBl0+Y8x/DAyncUtxGIN2JOVHHs8JEHV5wZjdWsAJKEJOC9uMniqC7SJKPaciD
j1w3yqEEih2Lxxr8wYG0fMmzLxUCNyjFBub3MyQLdQ5KJrOkWpXSjnzpqbAF2bqM60fdBV0PERAJ
+I+ac42vbOll7ERc4CVotrJbeizRBiyXn6CTL1l3AGQp1W1f1FTUP0BkzwnNlaNqGQcDuA6qhWjR
MBsNdaUCcFIRDqs9Co6CiwLUM9HGjSkU+yzAtN3tmCFYQOYiXxaW4D6DnPXVmOIs1WOnKPias6g5
g2Y4kOW8bWFlsxmyTKBpstQBQR56+QkB2UqnGt0FoI9/lsEB0BUapxzOfZ4NJiZJGol6BpwdlGJr
sCn+THThTjJG97YnK5F/4QnzbYYoUZWgRCTUMarfjZWCEkR5klqds2K37WBc43LFQCyD+hgo4C2R
9LQQj2EE6WRUo3mUb9/cLezHR00AsEH8x9RZUkUZEs6VUuNZPdegfaVdPZUJDYlk2r40ou9lGkVY
OFlXmY4PqqdtOIzDdmzACRFESr4hUQfs5KShNpkOYWLPRjV4cxjGLqx1f3IxESNao2R4MlrTz5yk
jiFEGI1zoNNsSvzBabHr9E0HGVwRumuN4iRpKQO6NY8//GEW3+OgCe7MqJx+jkGq+w9JJyvvBL0x
uwgFiG0Ooh54Rippn36UzCc9lTPZFow+98qyzAeqjcEQo6Nfd75X+63e35l1IoAyu0mk0JOCIPxR
A3X0Q6grRbHyogjfy8mQIioEfpZbRgtcFVSXc3eI69jkbPW1gwUo2oXCARAGjB4wn7nENZhJGPD2
c9BRqF6N9LUkm7G6K4mD7trt4F3bIufW5EtrQdxFgHPDGgBPFBhr9LQxu4fixm0za7F7boa59ZoE
LFPmBDOS8illD4n/2HcfFVc9eVkbNnLRiQLjG3JUE/nWpTe1r4amEmpI/auPUrHlzFPIMQljEHPt
hdjTi6NZnTTt4bZzay8OUMj+Nbt4f3YdDW0YpHgPgAdA+ex7lRbZY9okVOsdFcOYIjk2gtNGltBt
OYZXvp651MVxfIJaGEDoS8NGNbeCSVrwvevRByl+zj3IudSHoH/pIBikBZNj4EEQJOp2bA9zAuCv
BkBnWOwmRfdu/5aVG+ripzBr0NZGCtFb/BQySBq68aotqCAwV1pw4QOZATItzj5ZSaTgOG4oCQhw
EaNGl777mp9HJBsyDBppT0UKLItRJpaa+YdOKL6gM7pppuapJDwqvm9mVCbIzg2z+oNqJiUDSINQ
oC/mrS+mSHYMYOpbgbT3GDsdB6RASbyPZwAHdkko+HsRvHeRBSRB+OVPiihYbaJJENnM+pMoT/Em
Bn1FQYmQpDKdOr99DxN1fO0DiHHTmITVLhx6dTeJYnoSY1zIecATc1wLYWSl6LKAUhQshix6NQ7m
pg37EbpmQt+jCN7di0aj4lQg78D6J05dJ8+oyJzU1AOFiEKh2Pl1O4Cup6oxYYVnM1hrRHxO0DBc
flA9UPVmNLvM0qYXtRTdUMpezSGnfZw+mWiLBIaIGazekpqaSuF4igD5b9XoqZWfSBff+9LziIlU
QeHxua6sDfS6wLqoY5+BtZBdGygrK6QWK4h85CCdq5RWtiJ9PqK2RP0idMpZpPH0e4TaQtp8+JX6
dHth1jY5mG+gtAl6UBEP/st1IaEOzsxIhMiNkP1QAMI0G/1Vk9J/Ty9A8rFUxVCGwVuBvXeGeNTU
CmE9DTPVIPq6aH6EXoZZ7tv+rHzopeIIokmwUmBIgG33NBI6wJIxgcBHfh/x8iZvgAzWkp3Nu158
IZ3rdxQkTEo10hRqIGACTKNtGGxExQKnFufXXK/uUslHWQPirrh0NSZHFFMwkmJjoRyngv49BMIG
k348Ja2VMwNfDocr2lwGSrrakm+f3RBCaiLBDaFva7v3x+fl36NHqbWznia6Celmw8l8r+9baKmp
mMEAKyD2Ncvu3IW9rowVbqQAArkQAR8BNJVfx5YDerl+JlyaYQ59pI9K1Sx6feBioQM5TCaPe+n6
Wlks4N2zUFmJ6HZfLpyaTpGUqbCAWXtnEl/y2U5yjOnMjv/PfHjf5w+elegAAoHFdpM0bfYRCjh/
EjNuT20eQX67zf4dnAQz56cJs2Zg9lB7ra0h/FqZbl+h1ToJEyhuwsPsf9VN5E6AFNIZ74mRV8Nb
W0z0r3Bd4tLEIc9cmUXhSwroNnHC4skc9fdosS7JkT/u5+SfgZKLm39tsejFaADaLIT+sKXMLcgZ
DJCf7ZVob/BeK6s+qQoqa8DMEZmtSyahhto2YGdgaGmpJBYU3DDddEjbn7ngcQ6u6/QSPp3ZYnbx
2JMG1KmwhccrcvI/ooScfKP5hUX03zMK3BFxC8Xtx+fbhld8xFPMBMcG9CPgIpPmyaYRNTopcmvI
vgKwxso5bmZCxXinm7HzH2yhzLAQTAE+930Znp9UQ53l4BDMLRPIdIl4suyJpYqJhI62/95QlTDb
gd40cg5A49n0tWynSg6mCrYaTwMNWWKiACZhVoWzfiv9p0tDzJ4rlanW0hGGumyfhPdz6Y3Kp2w4
IGjM0W/v8z16LqL8WhRbo3G6hPNAuE5VYZ6gl4dbD4NqbK0oV800QDIKkhR1sIWssdpIs4alH6o/
5cDvycpnwpu5XrkBLmwy95qC00zOCGzOJHXN2JUyf6MrO7XlddR4zjGHSlm1alyONRrwwIOCGR9O
TRTkTJIKskPSW5HoRsb77SC9fiNfLCg7TYG7HOLiMpzLddTcdm1jz+Tn3BA88q0xrrf/bg1pqQhC
MDyxwHB1eQdNo9jXKKPj4V9EjjJVVlLfCaj0JWCtqLqBAkrDSUrWNvy5RebjqWqH2VQdFA6CVHrN
CCBpYg2G5kZhBi5YXnayak3GCxbtFgnEKkzmB6BKHCY1/MPgkz3lOlWh1RFNhS0Hr7nAe6RffTvA
46B/iUG1JclE0nW5mv4gD33XSQLarRZYryWwHYaaDFDnvRE/4MV2+9tdZSiLNci7QBIC6d3V9RBG
at6kPqwJ5q8mC6yBcFKg74vs4jnIWGAuBT8kbVXE6Edo3vwRbdKtO2/+KJ6wK18j63dPEwtIIhuL
6/6z+AksazqOFGAOkRx9S2GcHdV90ehRleoCzUW8hFB9aA9N8RoDtJZgAiLDZP7wz7o1jEnm46UZ
qMt7GeERTD9TdDkxUVTENE/dUvrVGxi79jl77yo9Zwwyqyt3c9vnqNvScTwYsqtACV2KvNsxcnVU
MjaY69WfgznTQ9gIcST70KUcOgqoekU4vqzFIh5XqNSg0IloZM4RwP6bUI5gpy6fUwUk0jxRo/XF
+muAOTa0pJ3mrFgMjE+oSEjSQzhy0gOeD+bl7m3VSYmTFiaMEHy5oIGcCS/GOCbYGcxCArlStixT
AwweCV5Fk/Md1pcJjAHgQ4DwG2GyAX+UtR5DtPAhbhYYXl0/ytrj7Zj6PsbYY0HDcDOqIwZILNnc
ZtBCTdB6eKG9yN4bpiZfU9D6e5KXbHOv2XBRwatBfGaPcarK1U6US9jrXelJeuvfZOsxsXxoOZzu
hjv5TrdFT7c5Tsr42recZCKatHMSAmCGlQwSO6hUq67t2dz3HVS1darpx3BRFQCcNWlskUeluRon
wFkDjKeiDshSAktBoiV6DY91/77Kjkbzr2/o5Vg4+/vMbgr6vo9BloGrY9IsovTOZFBxvk95ohg8
P5gtVWlKoE7LEVfUKc2kjS/yEAHX812XrrBY35p0QjwEMIE6hx7YP6OH+a7ffIAgN/zK9ynV3Mwt
X3iid1yzTGIR+WY0jwPMmrI1PT5kX6IV0QwZ4X54/zHZ2fbFtDOVkzt9v2KvghKfToKqJNIM9gXT
iZ0gopck0Nmk1U79kL3JM+6rr9Z+PsUpnY4h9kJg1zR+Efc81dxrdP6y1GfWly1zdimD5x2YCB9b
YlLpHDrFK9SNazr6juDJP0LOzfVNB3XtK+hdUOoBgoXFHBVZJBXzkgLEd9VX9SpbKIfvta3kjY9Q
fdzVFDiafSJSXsyuurkgiqGljn+QQL5004jncR5GuDkmBdVUu0SbIT7UiqVM21K1Y/9Q8fqfq86C
ZxaHHChGUI9lbDaJ33elAGezDCTgopN3tPLyvfqIWcC7ycVk/sOwGb3Y+WdsA77puWHmbNWaqq16
EYYT89CKdJKeCXCLlbq5fZyuHQTnZpjTFN8SfQIZZkT5HfNr6B/9uW1gNVc9t8AcaYLu+7IPvCcG
1KyKyrvSJaeW0uCuCWyNGvSl2eTeg7JVT7x9sXI9KWhnigTcMChksEMr8liG6lxPAq2aFwm9mgok
+NuRN5G2crPDCi6DBSqBmTTmwFHizFTTesY5R5wczZOwTtC+5ol+r3wnFC0wFi6iKgkUCnNgi36t
K10OSePYfDH1BzHkDPZ9jy1f7GpUIMEBjNl9aCUtykKXm6uXKhWTzVlo7UfbsIKNeVSo4cW271a0
daN94rT77IFYgTNarTW/ngZPPWh4aeQ0OzVHnDV73yGHw+yBcW0r08B+Sa3boXS10sxPXNbo7JgL
jagVAOgNMT1ySIZ9ojmK/6/bASbwDfHgBpUQhtaZZe4DTBeDyDe0yvhOTB+Jwvn7y3ZiV1lDT0cD
ME/TAUO5dEHoxSDKhiK0WuVLqp+GdjeELiihwohj6Cr2F0fODDFrFZg+9kUAIQYZ01mDv4v0nyR1
uGQ38rJ7WYe+cyFFQVZ7tcfSGWVJpejgkK29jhTUs3cYdjv8LG0AK6zAa++iXW9l25DGB/UhfTS3
mY0MwBOeC4fXNLvaI4Csi+iAoWqP6Xx0IS4XV8lycJvlQ2hJ8lcb2R0GXm4H4MqiXhhYFuMsALM2
lrQpggFVP86+G2bbEohUHm5hJUbQdUPsqWgLQNKdicHEzyRfbRcr1X3qNzSXNwvFhZGio2Lfdmhl
R52bYqW/pdEsFGmEqXE+kcLrml1vcDLaNW9QDflWjMSoN3tpp0VIhq5V8FHIBymhY7H3G6iPoaWa
cEJ+7fOfW2JuzFzWZuCLYKmAJl6co4vNHce9ensgws5NMBFm5oYoFiXBerm6TKOGyo5vl04TeBOY
GXBuzp+3P9D1k46xyIRcYALjlI6wWAvuIrNAiVVZ+T64q5BqkQ/VsHhg6OvCNWOSib9WmHFFEJjs
drlwX6Jlav0xrdES3yAhoE5UymzBnrzbjq5EIirViHegGgEuYZuH7TD0CWlU8I6iQpe8EM2Jaw4g
+ruZxpxVsIHJI/AOEBWn1uX2VQRt7vNRC63erg4B1amx04/ZI/TuLLDvfGk21N2sliZ3+eFLcQZ6
AOwNIh4Z/TXQ4Pdtf69fDJggPf8xTLQaddaokHEMrcmKoXNqhjbBwL493xEr/N06vpvTsbIK27dk
qhXU59z3K0fZhXkmkjGf5Rutj7VIlT8GoUGp0ip+LMDfftvP6y404ycTwPGiSdXMMDQ5Cs1oc6hd
2UmfwaDz2G6kzey99BZxIejqELs9mJ656zZoznAmT1fdVcDLgFcSMnmduXcNYzBBdWOGmPa0YwVS
B7ZmHGce183KCYRuMfDOIAYCKxo7yttFihxpcxdZagtMy3OUvdxezOvXCBbz3MDyA84uoDpAPS9q
YaD9aHDImTTdRvvAMbbh7/kgHlUvsLLQccyttOVYXtuf55av9k5UyVUPy41TpLR/I1+dNx8h1wmc
873ws7prItzrvAyet6DMJunlLg9B7hJZZeI22aktv267dR0Wy3A3WtPfxeyrdC8KIfTY1AFQp7Hc
bky/PRhkbrZtASBtNYY8+Nj1WwgNgaUngJ4xTiDgjS6/X5rOZdL1KIiEijU4QPtjCq61h18zNew2
c2o6uTF9TZ5RMgisTxFdHs52XM7uyyMQPwBDPDi/McNKCPMZiTEK0OHED+gjHDbLaUeOwWmg3CLB
9Ze7NMR4WpE4TeUIhtSn9A6o3JkCKV/uo21m/ZA/ZNcwKY9U7RsTdcs55kxLsnxWGw02AV59Fnei
Rd47rOcf4xhZAOjS7DdP+GNtOb+lZSHGhK3Hkr70ugyJ3GX2TK1USmInD+3RPAECKcY2lBSpzwPq
rkYQrkkTBGRArF0R64pTr8XCHGIS9E6x423mDI7p4OZAdwSCZPFX8Kzf94Y1Ud0ePzpwFnECaOUS
XeB6f38A82EjU8N8tY4fkFHFFTZQQJXujK/27u3TcKfdaAf7cY/pBAcY7oLm++SZAE9oibtDO1uV
T4HL4Pyi1T189oOYr4430DibcYTiwuRoDVgUazdCqoyh/dtnxfJ32OgCHA+9SgNZrMx2Upp07vyu
g2B2NB6lsAHc1x3KUyc3bjn8um1qLazAMQtiJjxFwdzM3FZJpQKBSWDKKDrzIcnF8WFIm/08JfWm
6JvIkqfht9JM4z6Jxo/btlc3rqiZOhiwoW3CjrkMgTIKtYHlVHE2+XruNLyp6eXGZxcSVIDLYx6j
LIBfXh6CQQw+s1yLAa9SIasnIPfRWxCIRz9afbJ6IHd0sJf/B6fOzl3m2IuVLgrLFidDVJ1iMDe3
/4xEBsLunB+FyXKatCVir4iQPwzHh2b+KKK3FuoOUwJ++5mXoV9F/GLMVDBKj7FIESNqlwuIvmxQ
xx3IWPD6RmaoCwTTfflbYepvQgo46u21W7G2qO2CNWfJn4AnubQmRjp4yoq4skYj+2GUbb+RI6N2
QlxlD70/8YAPV4kGKBTBR7YUugCSvNpmYdBHRmUmlSViHJ12VQL1GklO6NjiRfLvnoGcfJkNX4BH
LANdlAa9GYp1hQGB0gvr3Mn7fjtG+qbtGk7+ebWr4NUydoSLFxGPyL9cxG4YQLLewJQRt5tMH71Q
b+zb3qwtHGaacFygNb/06C9N+KEgoq2TV6CIAC1gHzSfeih0tjzrf24buq7Dwxlk0VgzbGJcRMvx
dZaFVsh+y7IeKuiXQOlN7PYQxXDM3t+Wou6JbX1I5GonJaUr+Twg/NXJiAkxzFjg+iFgKMAbjjFt
KlMwFyA8EjvlIKSGIxXv5vioy6/y3GVU7cDpVP37dDccxvQPQZooIl7Yax5kzl0MRHRlyf7ktP7s
FG26lbLe1ar6Hl1XUJ41NBMUO8tUL5/CmPNpr66exT7aD4AMA3KosFXJustbpVLEyioHDfjkcdIx
/NofwP4cOiQWMsz/dZJz+yuvhdOZTZb5rBN67ARUhcHRZUMD76cIIqQ8hZ72bTNrp4sOj5Y6F0CG
hDk4M71P0SGQKyuKTE8cxo9KUjeo2m9QUXJvm7rG1GMZgahCYxyHJl6CTKYQ1WZKZqCHrQIiwsvE
KOmJHUBCS4paO4EuvdFVdta/JiBY6/vA+z+aZ1w1RsgMBRXMN92oO1kGhnMSDUgiCERJoHtv4QY5
Im+Z8BIPfutqfOcb9W/Oj1hhAwIaHKgy7B20E9hGZYROBbQgVNSQwvikqRCtH8DPYPrVL2mSd7Gv
eB0U8roQQwc4szi4pbWPDbVGFQgFCarxIrN7c6OejNrUKwucSPdDMz6WwfwoBOJbNZvvtx1dC98z
U99n2NkZtczJQgTFgKm27OxiyrNj3KMKodWEJ3mwdrajX4DJL9TAVTyuLs8keWoNBSKKuLGgO6BU
5ftA1I/b3nxXDi5yJoSuCSDgMouODg17uGeYOUH2J5dgV95WBLgGJIOfXbJJU4XmzVvYansteJnK
rT8+VdJnbJZWld4LpZvNGz33yAQVL6cMPLV0B2V7+8ddf1VM7QKwh0Ee5MUY57j0vxnVgBR9VFpS
ZcvSTDtA3ib5IzYf/4Od794MCAjBdsFccKPZKz2owkurSH2qgqs4BmYqVXYk5+lZr3oEl5YkGBBa
tukbCmXtD1FaWhMmGdr5USdvk38cM06afx04kEpFKRUsr2B6BZb8cuHMUSWD4YNjrh1SzaqEVrN8
H1n/vy8bdgJa2JhwAXc1E55NJ6hNHYJssS/HdA+GPuG+qGXNliGQhWmvhkOPfL3xFqpczKcv3S1Q
2DJfSQKSZJx90I3Vuo+krfPUTre0gpdwr60dgABIR9F0vYZxI5tXknTBMY/6JvM/5fTt9qoth/Hl
hoMbIKqCL5iBR0p9+W30JOwnLetLDL/bSkl9zGSQcC/JKtoKW9L9uW1t3Zu/1pb/f3ZaSZIfKWkC
a9GgOrMY3GkpDze17MIrh/43c7qSUFJSo9LQVSrBNrRpOjdUvUm0hDHzIg1yEYBLAX5/26mVSJAV
VFyXKTYJ1RHmXDDGMDb7UQEjLho+5uwKs2iDA+e2keuiDzaOCRKphSFmocdm4s0fh2IC1wTY+tXM
1orR0g0BE0gx3sjxjynWnvviFU9ZO/EfQK3wMYnlHuKYtanYlcwbZ7vmiGB+jHz5HZsB5JT+koOb
5oMw48RtnQCy3AluI9oaP/Ku2PcQWTBnwUmH+3GcOCfKypLjQQhwGu4hKCOz7WV5RN0gLtA3yALj
Ge+2wAJvWGMlTcpLppZTgwknAnUfSAot0AqkFJeeFqUURZgZqqGWTTBmKrQIoFk8VXrwoWrdMalA
MXX7S39Di1mTyMFVsHphWBAV20uTaMznxqC3tZXfyT+XimnkfLzHNjiHncQK3doB/YbTbV4GqtKH
fx8gNDCJKWFiBHB1pC9s8kgMIVTloautZqJNTYNDfpph1lad4L63lFclpXjVHbLnTUIFXua6xA3j
OtiCMMy3dNhRD2JWO0DaLygFFE/k+/IOuIydsU2sH8VbsU1cnjzZWhCDnghkDNgPeOKxXYxR8UGG
1GKdhafGmjdQw/BARrqdHQA7NjHnuuBaY46+MNWDWTPhWuVou2AHQPQxtSNINxzfyT7nvaRW3q7Y
GGfOMUGkm2klST2cmx7AnoJBOArQQmrrXsyvRy93xNVXO7O1pBlnp7omxdiqHWwNu875jWKd171B
up6CG8kdj7w0bO0kvHCNuegl0mEWdHGtfcPY4i9939N+hwEuQksaPLVe/fKQ8fbk9XPicjmZN00O
2bFBKmDTeMg2oQ0iMHuywjuTumhuVHbrEHf03qEM7Obe6+3z4Lo1jtEKFCCWAhjeMgA9Xy7vkJpC
M9WwLX2Yn8kv17+X0c/oXFQH5l2x5bYXVo68C3tMpKpRJybl8jnJPZ7cR6jUonPbvlVAucwBlY9Q
jrHSe8PKOVfcys19YZcJ2XaYTIhxwm5nlS7YJX8/qp4o8sN13T9IHADevEBYmfhJJbkMJbPHCbeT
ve5Pdq/YoQ3go2VatdP/ira/wl23n7jDqSvJD/z7a5eJITPHEBeJB6gSviW/UGUIqH9X/64dyRqd
PKUvDzwR0lWDqKtDqM5EG+w7sM72pdoqai4vgTMI8x3GxfdtzuO/UlZP7DMbTLD0Mway8wjXxWQR
dLMb5yhtJ+v4+OYDUYcuCdUP8vY+evmj0ekd+C8auF64j2xyMJ9fjH/PxFSMchIDhCAomrEFuyFS
IyOWZeyU4rmcHtPcm3i7Y+XJhLIfsj0T+NxFpeRyM86qkVR+otZWSkYbHIySDFYO/z7oeVfhqqHv
gVS8gvHMYHaDUMRSkeSkRqPbmnbRZqbyO6HqgwYxloE2dnUnovc1nzqRs4irVwdSTLx0FQPYCbZ3
GpKqq5oJELrR7Y1NeQqQdjjaUfAwbXj7aFv18czS8v/PAhS8CxhAH2FpIVi0AP2iUIb8DyYgzIOa
ogHUKrsHoi7tgyHF96r6lxB8Ir6yqaKtwctcVj1ZeDXQHkUyweYSdY6CdT8h8gLhTssf5QoNQ2vi
aXpfd0VxFaCihN0sgeoVW+tywRIDU6e+ruHq+xhtMBzSxNOdgGpb4y5M6ey0u5AeBlps/Ht9yxNZ
XSKOvebx7pDRzUJ1BnwWl8bNKSzHSkdE6kZ3mjRj07WmGw2E88XWnfxrR2G4uLJZgojXCDvTDkP0
vWKBn0qwJA9n5OPgmc6s0lAAbKlwwqXlakLLxe556hDfzaVrb0FIjVqCjJxUufS2y6NQSgoEjnbf
/DIeAzy67kCca08fultvwl/KTJWftRM8ixvw8n1EkK7jLMRqTOHFsagOArHMYnmSgGQQqsEvyObt
MD7ofoVhAMeAwMJ/2CJndpgjfMoqYypC2PEzxQ3BaYQIe+niDOOHE6c9tHbFLywd/+MSc6gtbG6x
0cHUJNT3muS7g2raRVVYstS/1tpHWpeYduQkb6sJ1LlVZtcIba7MfQ2r88KFkmBi5s8k0Qqzxmgr
6mQLnhm0FVpQzxjyVm6c28u7cgtjDM4E08YCQcXY/2Ug1cj58zj3EUh6bEHwDMK9//4BdXSYgQRG
aQAtKyZUAaMF/ftC759LIZ2gL6i/g9Ynmu3bjqytIypR4B1ZLoaF2PXSk1IOAJnoosbKwMvklkey
9V31Xvxsnd6BTgW0gHgWV9LuC4vMl9PlqTMbkIUAjZUCxSOfhpPZUIA9mk3NI0xY+07n3jFpYS8n
XVkstqIK2EjdGlDXu72AKwfohTdMAij3zdxmASyU5lYFy4XQQBSRt2RLODHn1oUR5pTOylHrahO4
DdHTHkK7c6A5mTqD/TR5+udtf9YyBcyCgGAC+lZLXDCBN2dNKtZFjEHzD3wVTL5kFBfRSGtPu5/f
OcZWMk1kdQZwFJjKlgnbnBwjaDsEatpYsmceRWfe+65plZg0+wWNPY+L+F8NhzNzTOhVSqkMapaD
crJX7AbiEZLB+1QrtdcLj5iIS3ySz9DLacAEZg8PxAsLGru1TiXPsDuTto7ysDxJSlrcRV/qM2c9
eQ4y0Qiaxkqbc1jvrGIpLR1+965o+SeoBj0Vn7UV/rltcOXZdeEtE5jC2IljVWJBB/MUpY6QU1mB
GrJPc4WD+V2zBCYQwCuAPoRC5+L5WVqpjCNOe7ForCnb1yCF9lEC/Swiu+VN0VyDmzFtdW6JORFl
Qa5mQYYl7T4W6LDTPNU5no5iScvNSAMvpTuIPnXUdzpeQ3mly3tpmwnQua51uTVhu3joqURNyz8m
Xu98dYB0bm5/urVAPXeTCdQqCWSwjZaNRX7md+Gx3Qj3wkPDMcL7akw8tl0WRnUBf0zcYoO0DCIq
FYTPINDH4yVbS+7w3ZY5M3DKA8bMONRCKyaSkmpxaHZBGROgVgUte2fc1pv30C3ezHv5OXyc9jGK
BMnvZOKkdms1rIsfwDgLgtamNgf8AMMH5r5+q4rDMtZafKiTnYO+avgg5GNuDmjiKmpNIRjOVWu4
Hmn6Dt6/i8BsyDqbOwhZLYtwH2+nB82T9oY3YsJV/My2PQX0ye3pCIS+hFnXyNUx8BZ649Gkr/r2
nwHQl7+FHdCpsroTpwm/ZYZEeq89kIIjp/Vd1WHvRW0Rn9JQCgFBCvPJkzqq5kisG6tHWQIpjJfR
7hAihwlCVEXJBnNUm/kkery9s1b4BeP+X8PMp84FjBY3IwxjLnTeinjrikAJQ+p2OeOjkgtJXvb9
LUeZzyqAAT2pM9hrJZkO6FzUPpUlcDSbzu1TYflDNwyxg++GMIGxy8A3EydLl6zG35Not/Sq0adW
iauEH7ftXQ/sLEHydyXZliugXnEMFvDG+hnsmor+wQ2CXTtbSHptkXaQSeUkbDwPl5Tk7CIpClCR
Bho87OJNXto1Qd/HzVTMPNAy+9J55tbyw3P/mHTKUCFKq7ZLpIAPTLTH+nfQnjhruJZRn9tg7kZ1
rLJOlWADc59W98d/TvfCz5hqB+U/tEUvvhZzNzat0pBWwuK1nQXG1Uw6pD0nAq9JEJiIYO7AVCNt
8P9XzIV+nCXvcjvzAOlpERHJtnGBht/IP8jj7UX8ruZcRz7o1TBZACoEFiqqVmnSajpcM5+0nb5X
fpioHjf01KMWA+o4t7R+4OS0UpR2xY1oS+//odyEtf37A5ivOFRxEuURvqIELbfqDkT9oeKNPLq6
tQwR3WZAmBXALZXv1T8Lfwge6sKMWiBov0SI1mfU5A4aLiF9tZJERykV8yKgWmBCPjTHVOwMOKJ5
6ItZ8WcIib5DdBLs1Em9YRvYtz/detZ0ZpBZuS42Yj80YVBFgkGngf54l2nzNG2KzcA5PdbD5MwW
uwMqlPJqH7YKR/QdDbwKCRWtkZJti4491SiEtU/+6aN8DJwWzavkToFUCudXrHxEKL6AHQB9AIgv
flfbzj5iktR+WskgVtPQvKZou9q9OvJEkJY7jPmMmNcygCICVgVXHfMZiZ7MbWwStIiq2hY0r07e
AMmdewyodMeQp3++5pKxqDrCprh0ii+P5Sol2lyHAKJpqTg/aW31MuGT8hq2Kw9poAfRSkDzEqwY
LBMBiMerGQ8a3J+B7Y922mR2oNFGfJXbtzZ1jPEOur8zj0Z05Q44t8peqtkMhaWmU9BoLD7LVP0h
17JjNPnb7W2wYgVQqb8ryOQkHXi/iiIFQHGIwPdM5F2rEbzFtM1tMythAZZcVKwX1mm0MJlUpIp9
Kc77EEuISqZb9TrEMBOoieR5caxq03j0SVU9RymX7WPl4gZwDkkeUBuAbrBc9W0f+p0BhWjQ4WwD
w+nMU430Nr6vkp+QBEqSh9t+rjxdLswx1xAJ4L5OYK6esMtFJxFKJ65q1BdtCWF629hK9GO4E6QH
GiITiCPmVAmIWXbZ0r6cq20P7sIUIti3LaxkkBcWGHf0NFXLsB3hTgm96zyBEOMjye6LZrRvG1pb
t3NXmI0cDrgTkhiGNPGhGTBGFZTOXO2lIgPl3n8oc194xcR8qdXTWIhov3azUB2zMBmdTqiCh3I2
H8S8lTm+rWwxbLAF6Q0qn+UGvTykpqwj5aTCXG8+5Nm2jj65DYK15UNlGUcgwakL1O2lib5KxmyS
ZzSyi1Ok0qHbDAmk0Z/6nJPwrOVZoC3/a4lZu9GHMudcwtLk+V72Nbvt/veMpozuqI/kKTiVHglQ
9bsdHWunx7lRZgXBpgOVzQRGjXiT4XgST3pvk86ewsew5zwP1zbVX1soMF4updGBSCEsYKsdn6Jh
Z/D65GsPfpzrS4oDEKwIteVLA0Guz76U4Fyfj4VhiU52P3jjwrGP1xIu/gEPGNPGA4bHE7YWhud2
5Uu7UxCOKAjDbhQs8kk/Yj+1RYHTYVk38r9XJfswG/4fad+15DiuLftFjKAFyVc6mZJK5d0Lo7u6
GwS9d19/kh3nnpEgXiFm73mcilYSwMICsExmkdplNuCoxHNzk5S4hKfFXrNEQk1rBgGW2KU8HMXh
V8pUoQ3RNapjLKb8p0i3Q/Y0F4nT1yD0xrn887b1rdr8ORrnBVWI8rQJAxqaOsiXFY/JjtiQWkGl
bDiDGUXT/BHW+dAq1HDBhFocTIgt79Ar1PjQBGbumPbNLooz4g11a/ltUv66/YlrmVIUy0OpHJ0e
oPzgZQVYoeVTRiYYVaL6ffve4fHdRaoXx3YwVN+qCZI28AVCT8tV5P7YapPuDBUiXt3nbD2kUb2T
FH2PrNHJkMHvYYt0vFbn8PwDOesb6wKk/TY+kBzHIAaVEt2meKHprRtu9edsl+8jbOwNOppuz8za
dj7H5e6jQ2SqVRgjJ1Ak761+zERBnTVLPP/9Bf/sUl3osZ7oOtyFil2loWaw7T0z2sfxQ9g7dibI
mq5tr3O05e9naHnZQxcXvULo/P2a6iVu/maI2L3WzvxzDM7aSWfNQ1VixqQ0iJMXDfGbxFOnp9vr
spYxQrMBmL3QXgYeJf7lDCmvbMxSDGVW30Ca6NbVrlZap0BE0diQZq+jnKASBT3WxnYOyq1WY2uV
FRqwwqF/TZMXI8Vr+UhEr5JVFw/XDsU6aJAvXXuXy6SjloVNUHdzaw8bb/ZOzYaZPlbLL4+hbyHm
Nzj6kyhtuWYc6NY2kRBD29xVkywzuz5TLczoUCY+q5CBa/q3OSeCnMqaxZ/DcDvZyqxQTirYR9Ru
5sLDnnb6GZ3u4COX5cTRNcGBvG4pZ+PitrBUk2aQ/xrk1Loj2Ot1NIrhMXHItNgbCtkEo0t0gjaR
Y1e94OYhmlPOYNQIgvWajDkN5UfWfSbdph4FgrZrd7fz+eSMRVLNYpYTGAsb06fegjaRBepas36p
o95HJZFg+dZip/Y5Hre/USDQWmEKPO3Z0/dpYH5okJx7boLZnXbILwbN5N3e68skcTEB29TAToY+
RPSS8gVsSIwZrAmBSFLp9xQPP/NUF0CsrRPK5JcOPzzTr1hqNZbq7WCjHErPHobkPjVfZFnksdYW
6hxj2RhnzlfDJbvpc2CYqjveod/3SXKZT3ZD7MyP3a7fQ5loM34qv0TMRauDs1A3AsZ9FFvxCYve
SqmVZLh/GHMThH3CnKIpnSwMBYGOa+YiBJbRkoO3loEOBzSoXo5wMsx2IuMAPoJnsil85Vs6hdjR
Lr2PGCJknuKhUH0j76zOmSdH/0AZ8N76lr+jNytgghVdaX5YPgZCnCgsAJM3H0lqmUkJRNRalC8Y
QYHXBohUoMBpBso9Gkpjh4I+qTlov5UdTZ18E2/Iq8jVXU/85Scshn224ujqmmpQ24PBI97bqq+i
uk70tLk+kQCBRkL0woG1E6QDlxBZoyuVXCyjLH919R9b7x2GSFb/5/YWvLbdSxjOdhPk2yO5AkwK
8Y/+pzzswuJYqKMzySK+lJX82oKFFw6CZYjK801+yZyMcxQCi47xJu1+zTq5a9UfiM+7ZCgdBYLM
KG4Hw3zyuyXMM6f+aBvQlqhRZR5bgZQ+jDR5uT3+lUPk8qM4r6dDpTzs5ap18XaB9EjjS6jynnYT
8zTyMVdbS77XRIIoi3lc+j1gWgutA9iPrjv25NqeCk1FmCmz5MckI89pbAqut9eH8SUENywtSqRx
qurWVXPNr2N3UDZy4kkl3U3SPgJ17+1pXN0QZyPirLXp7FaKGsBBKc0Z0L0XpQ246SsBzKq1nsFw
1jqQEsJ3ISaOJMqWNkERI3WiLc17aGDZ/QdDAhMGvIyKZie+cokOfRT3kFdxFSQSjQpc+K2PZvXb
IKvmZ0PwCkzZILiUeW0aktdpO2YYUa38iVBFhEgdLtYsdCFT5WSxGxFHVbe3QdfMz0a1IzpSEfGH
6silazHnkVSWgcUqMzTc1tp9OtSCy8Sa9zqHUC8hpApEKRXDsCQWuxL6mKBSgdC4Vr7eHsqaQZzj
cFdAViWY1RI4uZngWnvCw3pGyT30cVtJYA8iKM7nV2qhJI0OqETNvchyylpFKbdbt4eUfd8elSpa
oWW7nZ0vdZ6QKZNbTN+2AxWi6ljHdqf7tque0LPpgjcWbMOKP2/21il6eo3dV+oZ3u2PWPMg51PL
eRCUWwyd3C6W2eV+lvvDXAQD6hEM5U6iniT9ug235kHO4TgPUoFjYyoswKHJ6UVSZ4T00E1ZlYhX
3AZaNc2lvANVidgEPHmVguiGJnVd6+pVMGtQEDta9McsspbV2TtD4TyVbbM0Q8Np67JsM1j9VgK5
EwvvxibzS+uBdsHtQa2UmaGt5QyPi4TmVVWa4Gdv0YTqWH9M6mQfmic/au9G5tDeKakrvaEEYqve
V0GL/jD6fPsDVpdP0xB2QyMFKqY4i+01QxqjCeOVYmjuUOYy3SUiSYjVbXEGwpkknUgk/Z3UEKV6
svrOOtEBs1KKs7QHLX2tC2e0whdKzwlYQcYQ85hLp6p4yOlnTTfm+M30X3V/IvGelEcqbRL55T+Y
vzPcZehnOz4EW0QSLTu+mamnQG7VMHEjyp5uoyxWwF88zkfHrZJU91k/h0Cp8nu9+K1PBxWBNST2
aJlDJCT1C/KveU4u55NbsrEoKxvRKdhFs7fjT6ge0ubTEJ3VK3t6qfgFFQbKs3Fj5o6BHlGAuVWB
UoaSG5takCJVlFinXmGCU2AlhAOIMyhuoShEggczx1MISnn2s9I785Yd54101B/q2sl2IPy4sz8V
QVHOijtBFgyBUATEkGThe5TKRuo0iKa3blserXB0CIReoAyrKwUC6n5XCEIPK7v5Ao4bZKsNKRQQ
AFeqh0x6UuKtIglM8VqGFnwf50PibHEk5WBVMjBq4wnyf1INvqFjl3p9DqE+5iv9n1YPautOth7r
/s7IHxp2gk5CB8cWCWZ37UmJb7EwtTp6Fkw+Gaw0MtTthwTj9ei9duqwssUP3X1ih/7QbqOnLsgk
J9wudMjE2UevjUjiYuVycfEB3DbJQwmZ/AQfMIZBOAZl5EX2Z2/fl5Hp3nYBwrFyB21dySxlBqA0
6lXxVjbQZar/ioLfyeE7DuL3QvHYjoIINT90DnspN6B8vv0JosFyZ6NlFaNZQeQVcpDeoHs6GMPq
zGf0S4vf/jsk7lRMzWJqc+hyuWD96cO7Kt1P6VMzPYdMdHAsO4LzrOcLyFen6mBE0uMaSLV6qPWv
NhFcqFeqktA0qKOYDGwP1sIzcXlANHoJ6RA9bd1pPBnhCT0uYxpUWjDnd9PoYXAajSA2KZLz+cs6
xg0MTeXYFBpI11AMzT0WIto0JVjXW9duNa+GfxtBfx5v4tZ21MFPLXAPJS61yTYr72h/lKI7aERP
xh3R7gfjgwyPqEJz1AnSf3SThF5c9D7Ipgf5LpmDofDMGS8fzYEaSWyFd104Ocwa/R7a520uuQ1k
2KMSfVc/1G6TZsQ1s8kpk7upPpmtHIyRa+PBRME/L/KAKzaqQtFHAVsQrgJXwoUIyKC0czZwD4AH
RIVsYR+TxLVlvzJq77aRrvj2CyjO2RaDPrepukCxAyNeE4HRDlq24NAHNXcp8OyrYOhWRH4F/10R
v9N56NJMA1gKyuwxmwNZIk6rfEjDoeju47INbg9u5WRegP4Pj3NsXTOBekwBXiK9yWhi0dQX2pBg
7vzbOKJxcV5NAddM2ZBlXEYI7cUssNTvwthoc7QpTWtnzaIKmBVAbaFFWmq/FoUK7sohqZEVqsTq
XKX2ZVru2Pw1tUcpr05M8f99SzmCECo66hCARaycP/6z3AQtHLU7VzVCdypfJ6SXIxIMucA6Vs79
CxzOFEtFi/QGDIpubp/G5JgqL6wXuOQVR3kBwR372qzZDMm2zm1DHcq7g0tEOo+rgwDDKAKMcFeo
Arj0lOqsEZpHmCw96t5bKJb3ZfSUx4I7w+o4zlAW+zi7sPeKJREmAwXceo6Gytei2N42adE4OI8f
S5GtovKoc6vsd1lB+RaxLoRJ/ysQvpNaNwqNYoOgAgCSWq2xGywdnleQnRbMFc/ZY2Wo69MLjETu
jFPUqx7697zb41gLLqPF8P9W/S8Lxdl61HVStQY4ZtBSPx8ZOUDTzx0KcNZNmley/JC1SAZEAx7j
MnjsTL+C4O4YKV7U544xyJtweG4TUZ5gWSLu8Lz4KM5J5CgZam0Js5t1r1bxXE33lN6BvrqnRyXx
+05QZLjibC/glnU4m4M4lPs8VhebZMOmZ7YjsfdU3YSJIPMqWk9uD3e9bTWlvezhJH7o6uouy19u
L6cIgTs2iora1igDYdA/wnyjtorA7tcCrxdzxXkJwtIZTTCYq9SQX6w4hnj2PIBl2Z4exl7y7cQK
RlY4bfNk0+S/BeecR0RntAwMITaE/JKFtRNhk3enbH5oyH6MbbCx3OWSKkBdNUZEvXD0I+eAlrZL
62hqi1BdiiBBBY8V5j7TY5T6uOYI6sgf5Eluf99ewzVr/Ktkjzgz6p90boatUW/K0QZeZ/d/srp4
GREL65TckzXhhKorG+0ci5vQoQXnQZUwtOAeUIRdU9TLlT/MY/j8qj7V34WgmG2laAmdzFAQNv53
aJxrtkI9hSA54Ppv+Z69mc/J/fS7sqHqAN52zfeM3ZvxKGxMWCoMeW9yhsrzEJemCh37FKh4nfrD
H5TOG0d9B1aPyClF7GCCxeOl/CylLOR8BBYSnV4OyvM5d5P4yRKRFq4dcudjWhb2zGVFRoxGmRg4
mWbvSKrfRQMkiCZRgEgEwzniTolqLWsXGEN2rWEfI7omitqvkB9cWIXBud/JmsypW0AkEN9Zm/oj
fskPipffFR/6c0wcJnDDq2fe+eRxOxpsNnKfLIvU5G/0BxR/v1rwjkk+2/Quykal3+Wd+oLiR/sx
fbu9t0Xzyfln+M20ZjWQNe17sN5UrXEq+fU2hnB4nAPpp0SR5MU2yFFDOeCX4rR3bG/kXjdgSMXH
vB8fEs8oHXVjiZ7bAodicA4FpzaJxgrYyIujYko56UjEOwSN9tT/lFFWYAruSCvlNwSs6qqxUOD+
Jae63AnhlDG7bBX02pYMb/tTlu6T2E81D+3/Houfp+qYh9uu21STJ1X3cbIRTPfykr90L8sHoIgb
1eJITPMvGijKUjvNdbSsDbWT9KjCLA13kh2sLTiyYjQAR8SfQz8rfQGyuczmLWhu5xQWtRgKBkDP
Se5Q8tfWGRiEtsmwY8lRsk9Zcairj0Lb1OabDbEnlTlS4Wvyb0X5QfBGMRx5TB7thbeFyr7W+mw4
WlW4nfvENcsXRElU6SMras8uY6cB1WFbf42R7LbtiYLWWC+3mhohQbnrdTQEInzRHJo5QaLmywI9
qdTq7jgFirqNQWOa7YxqX0i5Xw27XNqE8Y7ks9OiwNPakGlT98/JeAy1k0FzSPJSL8t/UQhTZaBx
xK0iQ13c/JDGp1z1iBqg4LAEDUB+irNdPAVyi/tq/pah+jvcxubWst+K8lFrERGATPT0mELLRkk8
q96a1bPVBlmiOWV/MMg+po+kOEggsDLfbST850NS3xUalGCSnVk8Zckmb36EwwvyJrn9bPbbgjjm
tEm0U479I/cgiGLfDfTW2tMwBxDz8Rko2bMPufksTOYiJeLgUpSQY2S5uvKax89S8UObGs9Gczou
LC2hmC4QvFX6vpE8m32rheHq9FOe7rP4JJUg1kUiRe1Rp28FMD83Ll7DCnzFwdz+aaHUYB/k8IQw
Vt+8WsnPoYYQU3XoIWDQQmIYhJv26CZ9QHW/kZud1FWHlk4bQz2l2uDIhbWxkg9UCwUZ8zNblHda
ya6B6wxVm+hek5EW4olFMoOGtRF1SzGOq+zMXR20oE1hTnpo0IbryA/a0XytfVjYM7rzJsHFbQ0e
PaQQ9rEVlHCj4OvSNVSpUXS1Cvj4kHqqO7iQmj3V4D103p/JgXr5/huJo/fGF7UGrPQnIkR/hsxt
TFJMxKxxqP0tDwp9dV858zutnAxXV/fJ9M0jJB8P0zbamV7pxRtpdGQPercCB7HiHy4+YzmOzm8J
fVO0FNqZrrpQkQA69MgGzngAD8Nr7uCE88xD4nzYv24DX9+CLofPHXN9mViTbCJfNlIvyr5K1W/K
0uk00fiW7+f838X4uJNOTrKhMg3krzInu9dd7S4KEoyz8voN9A/vmm3nikJKK4msy7FxJ1wWgVm+
tTCn2VvlRLs8qHQQOiD+6P1oj/fpxnAHwbVZNEru1pxqNWjKFzM27b1mbMLxXpO2txds7RQ9m0m0
FnKWAnppktTAiAn9KRvbWc53Zdw4zfADGSfPTscf7aA6IDVPHGhKuJMC2QfWPyaJ6IX5l2nv/7+o
SNpdfoptp2ppLyl5XAYf7QgaYfku9pL70PuZbEZvfsKpBim23GkCy+mhu9m6g7c3Yuf59pxcGTH0
kSB0B67khciY8EXngxRNqayGuEZNEJxEs2EF59qYR2Hp/tX6Augv7S4K9+HCeVFRO53TkkDHA4E3
0PGR3CklX1OD26O5XmEOhduTaq/N6dgApWaOhcYe3M+cIt7k2/C52GluPjoFklciel/R2LgdmqMr
waRVPLhS8djGL6URDIp7e2TLT1zYCzcwbkMiYik1coeBSbEs79Kkyt5VSSOxPxZTcTS7OP0jdfEo
iGOuWQf40UE1A7Fv1G1wVprEKJPp53RAOnAjg+xORtdFfadqH7cHd/1k/ju6f3C4h96sq9DFQI23
a+Ne5yljQDZ0r35KtksP1nP+VN4Zx2RnuI2oEvL6WbYgg+sJtZbawuLNLR01Z3uwWQKS4h123c6U
nXd0JvjaptnFPm5pIk5dISC3kB2tOlZ3ACRHaH4jMryxXePR/BpAAB3trXthOOIqMMCNkHOskjHl
gxkBsDLAXFO4PdhcnBo3tSB3hTK214n7S7S/kbWzw7jL06KfZKCNnnKyNv03VFAbMGy6y/ts3pBT
g4sRVNB/wJqmrejcWt2IeAtAiAKy9DKfqp+UosjVORtQWIWS1n47LFEsg4iuXKvbQgP/MxrnoBfC
JxFIa5mljWnFZauDvqsMPVfpUO3Ln+GD6UO8bL7PHmjQigTP120HtB1IXSxXPf7QQI9VR4kFXCSW
vvVHFNYHoZf+VF/QT+hWp+6nYFsu2+7K6ZzhcdvSkNS0jaICRLEqKlna1kH9qcs2jSd7Awhz8PoT
zOx1/cFiPmeI3GXW7MKUZBJGaH1R6DshTh3kgdSD1w7qUxAUOE0gW5J2MWiW/kDC4qvcSwcR1f5y
bb0aNdpEwYdpY6b5GsA6LRur0BZnlB505Y8lEjFZH+QZAOcCUFk2ZLSFL29HgirvwoEKrBvL1lPe
oTy1K23UuyCVX6dOPOkIQUdOOCLJPURbWsYQ4TMclYRQCqlOQznsEktzlKF+toweoT6JiR4Y19f8
ZU3OPpdzIH0CympZXU43siNfiwhvQYLoudw+leDRtL6zYB68eK/tR1ch3uhO3vO/roC5/ASbu7hp
kj7WqYEZA5VtJX9J3aPFIPH0DqE1gQWuLv7CM7hEOfCY486DuDcqFjfwXzNyXflc3o+jvBFsq1X3
gbYjxYJGxkIRcnn3G3MTz9PFI4OnyQBR3X13Hxh3GuhkPluHvhh7aBCgRjKog9vAIlzuvRaHdaKx
Frg2U3d6OR+QpXZpMfmRiGprfRb/GeHip89OgT6ejLmlQLLsd8bedObfHsmyQ/gtiioXlLygeACX
Vu5eYjZlRAdawSSpsWkQ9AgfoG445BtoDN9nonKPtdGco3FuMCPlHDUp0Cb7vaPBIlh8ezgiAM4g
iMmMUVkAiPWsK78gHXr799cuj3/Zy/H6QaGOye1gRZ00jfT14Pbmz8aA4vKmYQG6WWwquKWu3r/P
kCxuoxYjuH/NBEhMk3to50WIOCfxMaO/aJgEVNVQXJq2Xt7b7wPLQVeUt29yj24Gwyruw7QRWPx1
xS4cBxhcoEizaH2irPvSECeqV1qf43uSP6Aisb0WRUUN+FDvUaSEgEgrC16xa1sMjJDoJwTlNypo
OPehM023oqoZXBqCaMI8lFqG7hq/aLzbK3p10VnU1pTlJWVC1Qk6O5fj6rMY9DdVCeVhyOvMXlI9
4jS+DXEdWFowoMFKDAi/yqh3usQw20oqe7mBWv3XeIpxSm36IKicfouaZ9tF65UPWuAJDOqZJyrD
X8cmFtjRIN+rgu77Etsi9agwq03dZBt3zvicg6s3ghR8gyCkKyH2Yf+eiTsfaTDOTnMnvKWvzu8/
+DyNEhILpaaPwEds5RHN5TX6GS1vdovN4O9md4g8xX0WzPfVLl3m+wyTW1M29nGHChuI3oPHd8ec
ZA+d4sL5mbjVN4rZIH7hg03zvTyKTtfrXbK8fiD0aeEdZELOmrPaUi06xGcpokrs3Qxdme2qfjtC
BdGiTiE99F3igdM6JzLKwDe3R321YTho7i5UtqPSMg3QqjnuRsUfFOKP/dMs5LVedvrFkcEBcRbV
MlUJ8xlAEIb6VQfzR7bXd9oR3W8GxHcY7l0Cp3vNrnGJyNtQ3DZ6nMpABL+l/lVsRy8+TUf61G9T
JzvisoRLe/4oB+wVN1tzXwpm9jpDxuFz9pTH0BhkBPjRTjrZz/Qt3VVviDEdrJeJ+tC7hFCtW72o
97MkcB3Xu+fCnkzuwFTSdhhbJUpwiUodkrxHeRm0kmB8y4LdWFCTc+11yIa4GTC8GTyleYconlo+
NTYiPK38RkEKkS2RrEEkCHIdq+CmdTnMz+42I8aVoL8fy7rpD3K8RYjJZb8n20HicRE3GvfqnRXY
nvZye6esTupSTAg6NFuGgN4lbjk0iTzrmNQwhYpSvKmLt9AQzOnqbsS9CgcXuiVs3u2qFe2lfsGo
bILXs2H/Tmbl1EpTuYV+gOBwXh3QP2D8/uhtLQEpDcAi7bcBQnYUnlBRBcF1Jc+yWmcg3CYwI9RM
EjS8urp0CHWvJ4fY7P0cShW1um/QJVd+I/13e6UEs8ibfxTP9qSEwMQ9O/fqND4aPZhzEruQfLT2
9v/6LnA5RM4wMjnMR7NAobWsPUbhQ4WaGtENWLRUnM1HdhzNJmVYKuunpTsa8qImFfjL9Y0FoXRw
3SkqSEOXjzjbWAbq0/XBwDgM+ygpoKc7FrrT4vTXtmG6M9iLKVGXIuhAg8o46amHqgm1FeX2F4O4
citnX7Es7tlXQGWrnMwBXzHWO1lzVMgRqLVvJj+i8QTqW2dAdimCirvourVqNGe45iVuhAIspWyA
O8XPKnHVZDuXzCNM4EVWNwRgQCamLhKNfIismbvYyEPgSDrETHWMQyH1NgwLD6LtoxNNmVvJiic1
2j6qBeHkxUz4uQWTHcjmoGGuQc7kcoyVFjNcnAuYEZ2Q3qn8JBVFAJdpuoJY+uchsgz1KV5fq2Ig
6lFUDC+prL1uggdWRuZk1L4grbujojP+uvEC7gUSm/8LB5G9yxGNaGQuJhXF/ykUM8zf5ah4FLnx
5qmEAF2d115UBFk+7HBh/Pc+5hyYm0pUFzeTSgGcx9Dy0siOsjow1fCpp0JJz+W4vppTtAQs5YFg
1OGvh2nXjJAzApbVZNRBigUC8LOTG6k3EbzcytFf/n/daPeJkm5hfN5sCUhG1if67Bu4e2LVDW2e
DvgGyYzDl9qUhruM5JIXzwXemXKpeINE5w0drWlfMrU+ZWO9aS1rEFXirE+GAU0lRSOgTOK8lBKl
GfRM8CEyid2w9foOxRjfUhskBgoQEBqDsBYmCeUmo8hDrrkI5NBAAWih0w9suZfGpk62nQ2kwhyw
LytBfcYvG/q4hnvbstZ8PeJ9II6xIB+HeMElSiyNmlSU9XLPMPYdKbZRhyD69PM2ynWkADuHyCDy
WlhMTJn3BWZaMsWKcY1Se7jYMbTechNykUZbIoHfpeprqGlB3GahG1rDz7EsPprGfKz00HaVTHsN
W10TeKdV14gmPzRQgnUIJU6cC+5TCQdTDUrUBI3YoRY+MRNR77lypaGFLjJ71LvMN8bMpyIV7dW7
+kJopoOMSAE+v7TI8fealAK6fKjJuGG1/jOdEidrn2al9RQa/bYSPAvt1x4973352cY4hYZa3TVG
goua6hD78/YKLTuK3/VYF1ScQfIAV0HOw0xmU1XtBGfNxnif9I+ZNm1SQ3NCpOaLvA/CRMRMu2bf
54jcs6Hs7XSaQMnolvFcORqua42cfjKjdQ2pEPjPNSs/x+KsXJHaeVQHYCW4TdsDc8zyrRwEV5q1
w+gcZDkPz+4StQHaE8UGyAT/GMeVw+hGsvchHvIiKvu119A5FGdARdp2URGV4NptVVR8+nbqmOwr
TKin4p0H5W8waQt88jqkjroBsLuDnWT5+9no4qFkSU8wOjmsgBS7daLuJhuJIWLfh6RxjOyUSLOg
rvVv08mVXUKMEbLcy92dD0ulYUeQl4J/0jfsXXcnB8/YQ3HUnNS9k/zJDXf2YfTQqOJlx9KbnfAF
0rP6btyzl/Cj+qUL1njtTmOig9NQiYrCeYMzJJBEG1OkwCkjXgSCVOueUeGdbdVYwXtoqyBxwP2J
c0xFns0GlKvgkh/1JyUo9tTvbWRa1MDY0CDxysGByO7t7b9mu8uigsAf5KAgg7lc3aJE7KBoWlww
iDmVD9nUD5mXwGsaHkvLwY1pazw1TWGKSD/XBgsNcQOo4JsHB/IlcF1mOOtRuuxm0ynRgjaHmo/o
lrjmaSyEYi1Qs6Okle+XldtxyJkxJG7X/ZDmexq9MvuVWMHtKVwdCYQPsGQKYsK8B53NcUpxnGKD
WOy56/q3uI4ca5j92zCr4TsL5+iiWKuCw5Hz1K0dhlQe0dKU2kcj8klyN+SoHt3U3YNs+IXia3go
kYPSv9wGXh3fGS7nr6NR6aIhmhcfivhsEu+06qnIRFoVa+fQ+eg4Q4wpm2k2YBYjUy/dWjN/L6Bb
m+m5q5a5GbCyU7wqzwXkFOu4Bl5KoB/Emcy5N2PIK61pMbqZZagnsO56k3jTDHI7SI/lihQQ8uf2
fK65EniQ/4eoc4+JsM1Yr+UyXElBwXBzb3ei/PrqFeccgjMVvPD0ilBAWEj9lR12lh/RBzq8lwTN
zFsV8mpQmLw9rLVzAsUYCmSIF55xfiJDozSaOTZgJn3hW8bnkBcg5Bw8rW/vGYgxWz07yMO0+69Q
+cnUcb4nfQ9UazzN5SnuHtTorZYeGn2LCo1KF1jL2l44GySfkLE1u0skDXBD/Fykd5Gmg0lZ4E/W
LPIcg9tvBeiQCVWBoSdIq0HMWY8cVUqhGuBNrT//J/G5czhu402ZlUyVDDgz+pHm4Oga/boTrNJ1
SYuugrkE5zjMfqHV4UC0hLZVg4uE201pylBH39NPyOmSbzYndmAXSv48FlZyD27sGlSjNZVOWS4T
pEMSOhyiKk3vWnTLiQTWVpYTxzny/2DGNmQkRi4PISu3Wdnifb2IJIRQi4JWk9WL9DzXdiPYA3QZ
T2pcH9ApfolSg8i40HoECoehMg6SVakPNDPu0hFU/EjwbaZeHTzc4Y5IDU1OFBeze3uTrA0TVIBo
E0J2lKD8jfsAE5n0LMVjNrSeLf2hsLaKsGhpxWrJOQbncrS+nHMbMXO3Bdtbksy+3hbOMMueGdZ+
y6SD2ppO1KMDSoGirma7SdY7cq44UHbYTnnqjZqKOvovEzHB26NfuQVcfBm3nywTUuzNEjitqW9r
b0OHPbSnogzXileHcVtER885JHT4gBvp0wZhBLwq1fpPUr9E9evtUaz9vgbazIUiEHcA3vOQAm94
YuL3oQUKutXcxYF/G2HVTsFngI4xfL5xdSWjcxW2BsXjoiB3drsdG98q3NT81NEmA97tcUDIRZBI
X4sPIN70D+ZiVmevizoyiNLbEA/Rnm3FQTeHozj6J6ol70EiG781B9vTBbHftd0A+gFI/IH8ArO5
/P0MMiXoAtSL5bkmHVKykfBoE+rrrhyG5BxjsckzjFqRQxB5LcOqPEVGjMibs2PIXmVosatOJ7qC
Xtdjwr8i/4FqQQUXwytuKIhVmUoz4nnSub0nv47M6R2kQVwLMmPsYJ1kZPCluxYcxKKiltXZXMR2
QQy8vBC5e3zTTHQRjkD8QNnr0b4cvyxhj+Pihrm3IArX/8HgjARKhXqXUzyM5I3psC311c/w0AX2
JnLIE6jSBBGi9SEReGzErZaqksvFyyqdRdGMIVkKToXvITtOrQAC1ThrY8J7GspDeDlgT1+CtNCz
mRImxW4qsepVxvn0E8J+/ZtuZeW2K0P1K21yexeyWLo387jdx5mS+TGUZLZhIUc7Gtftpz6G8o8q
LsKtrNA5iCUDfTl40GmboqdhMFK128tk7iF/aObzZzKhjY3QMYV5jLpcOlJlgXJrirtjy1LYSENK
lzWdemwmUzrVFQoSHdma5k2lVPSHGivpkWRd+RiWzXjQY9Y+pFLdISoVlTYqGTJ7DFgHgi4qqz+t
OeliH72EoeqoOGZfuo4xnAo9uzfMGpy+zGDx7JYaqkDAymA2ljMXU/PWkkTfYOKGJxwpdKcYleKj
wyyana6z9G1Ugk8OqamqPjBNW74M7Xe9ZRueWnV5DhahKEZ/WzEEFTHqQM4HGx3nKMfeIlUw7EiY
MerKc6S90nS29gOB6CZaB3ON+ejonkp0vMn6QS3RfUcHe4ydspEbyFZjEoMhQyumUc/S56igfnXb
d9Dv6NC0Ywcx6dkmm23ykbURag5kWXqJccR9zaEVnppy0H1JibQOUlO6ljqsNSfd01Kq9z7qqJV3
bYYs+khHcpdmnfIDrbXqb71g8sNgpjGayhSGN2WoZqkn5UX6niUEbfvULtJfeWiM+1iTsrdY6ftd
kSugUxqm7Ih/3qFXz8rd9n9Iu7LluHEl+0WM4AIS5Cu32rRLlmS/MCS7zQ3cd379HHqm21UoBhH2
PHTcjquOSmJLJDJPnsOodhtIk4ICrBYdzFFNbtVYr9y6mCEtWqEs9GZVqvE45KGV2FZXa5AmJiYb
/CALQ7brykg9FGArfkSvQOWjz8RCd42mTUdpyIdvtI9kj0o1ikqmVIS7QSEyoDSxzh5AT97csaBK
0DVrLWGONYbPYZrlT0U+G4WblFF56Iqq+hoSI0KRXamHD9InUm0zZZr1oxqx9j1JqeQnaC05Bp2s
veRdqQUHMqTxvkvV+VEZtByNkJPuSIFEH3VaBQd00eoo3RPU8L2qqwLFNnIUTxySpFO/Y00zPrKy
nyDAyKzgZtClbG8EUrcP4lICkfhYFZ85gDovGuYlsquolp5DRW9yN6c9eykSMj6rYat8s0orcUJm
gSo7KZP8Jdf66kNnyDzaag4IuR2lUfVWDMx6DCzQHtl5qWm7TiLZyRxGADS6fvRZ0QwvajWptR1K
dfFz7IfRU4B4eFGNGNrbzERR2c7UYiw9tAhHz1oaJDdZrEeQBcb79UWdVMkvgk6LbLmQGdhvg3F4
1eoQXN4sqy07HwzjNIA/7C7UWhzgQtZHnCJwbkVZ2Z+GIZW/gpAaOpFpRfDpuhlk7tQX9C6rkfiy
FeyyQxXEElyHUafTLobO05HUUvowJXMHeQUSVYcKjVd+rrfIq+szBN2aVh9vJMReP4DDHb6U4GY5
ZCazAGhDsQB9p5GXh1MVuWVd1B+hGUR38IadK9XZ9EkzFeysRJPwhMzHCO1KJeBp8zSFp7iP8bqz
JiPYAVSdPY9w176cNOrS9UDCQ2GVlW9qZnpLyiJ5koIp2huRpuM4pCUOkhG1XqjlIxpq594vZiP9
io5RySZT1HnZlNL9INMeFIuh3rt1PUECT1LUpvIpKBh9MlHQSpJq8OIkJ17Rp/qwKw2jthwzIzoU
PDSlseyhiKvWVYEpjZC3qAFf0Usoc9g90XKvo3GrOTSkqWcoKQP7iIZUat6M0gwXpteTMzdkLsE2
1qQ/IyOHWulYVO1rVViBN2l1+ZWSoN33EUv9ibDmqxZK7b4ClbVTS13r1bQuQbGDSY9yaX4jSif/
HEhq2pSmxSNgYvQmbNEkS01zPijYiF+6TAIibTukXA29l8SYjPsb7yw+ONDlJpga3KSZ5VUVWq6Z
PVWuCVa3bTtrN7YOJXc8swC2hhO7vEwHNcHbMkXkqgVHVfoHSh8mE6TBRSaW+PwsopP1CZ1fI0x0
5rPVx3ZXu/IkqDqKbCx/P7NRpHUPzhZEpmbxs0q9tLgfy6ftmVpfkd8zdRWYmh0uIwyjhKuo9Dez
+BYAu1qL0rtrz5XzFeFWPlbUKDR02Mm7o659Sfo/T8QY57/PhYRQ5BusgGCqqsyrIuY0+qtivm7P
lWg5uDgwSVWtZyXG0DbHpHurrec0eNw2IZimX0+ysxW3gpwaSg0TKnmPWIVd9adsbngYQG5Vp8hv
4N/4msIkd+kkgxbHyZRjPELYILblQPSIW4vPz41wi9FrbKByCyPGY/ZR3YV3815yDLfzhx6ddeWH
vN+etdVX47lBbmVSBsjqQvaDziwFd9vDvH/oT4BePWi7L5Yr34geOWvBOtg7l85Z6NSAIPbyYMqm
pFZWCz82ZcB7DA+m9Njpt6F5D3Ty9tCuO4aXl9zZu4DLVmiEjfWQ4l2g24Cw+vV7e7gfvNB0jF3y
YLgUqgr28N4eDdvalT9zB1fEF6LY+wGJFW/7W9bQGBffwg07iqUp1cwgcXrtaY59GXAQhX5Vrbel
5w5DlyBGPPmk97ftrh0KQJQtIN9RHbp6zIJrPiqUBTEoNbtqzGxW14JZXn2en1ngnHnYlWpoLXBB
q5u+lcoP8IDZlhzYhoaKV/wdhKIPpBXptq/mV6C/BbkPICJ0hS95NUmjNUrya2lVcG/aOhIPe8jl
QAzlPv7cnkOhMe5MVg1NulGCsdREbi0+6L3f4fCbuh9H+zF+C8iPpPopMLpsTv6hfj5C7lwWdYLk
fwajkATS9vWP7Ii0skO+yy46mHf5F4G5ZQzX5vDY0MHXjDofd8kQuarCQFrAJY/1jeayw2fshLet
TTM7dtSHwG8OKEKYd+G9qFq1toGAy/rPMje7Vj1HYbBs0Zr55YH9DG/k7/VrImQE+iX4uTVEbkZz
K42DOoIhsPqC8uvVn3exDTp/m9jGj+xWf4o+8dy7QwuzcVd/MQXnZDVLAQQPWM5AOwwwH5elaPCo
U0mJBb0tntp784GUILWqEGY56Nl2km/Fw3TCo9pys7e/Wdszy5wf1K2osKJlK7Xvpm7fIyxWdoar
Ubv4bkb25Nd27Dan+DPZ9Tn4WATWVzfymXXO88WSJuUInBOnQie8He7vFWqz18FFI+ou9kV9KGvX
CwAW0KlFDLvgLC6vl7iJGFo9schFcBfH9mD4bbkbmttAVFpai2jODXF+r5/qyeoXgK9Uv3T1uxYe
OlmwZdac97mJ5RPOIpqkwnaNF9c608OYAbigaH8R0qDMjnqSplmQk+eORGEha6cuOEVrOA0TmpQ8
SxekiJcomD91Z8UMHiCvNFkjKz1KBtJs3gwmO7Zx6ipF7GiJSAB6be3PQwtuSSo8Q6M8WkILeUfQ
+lubNjEe53RXWK5gUy9lnqtR6SD4AuwCCh28znrCMt3oM5gKHpN7qni4f/oj1ElUT/sRPG0bW9tp
C0/x/9niA1tVKYMqBxm60yuuSe5m4vfD38TOVEMWHwWEhZ/ocqfVo6EyJQCYDnoIugWaTpFSxuou
+G2A51pkeVsYZrSUdPov+eAb0akIdoYmCGZXZwoQZrQSEgX/cAeGynFeNd1SKqC7IfSlKrXRhL29
GmsjASELuluBcgCRO+dginI20UkL6EgU5XYGLJEx2Qwafom3bWcNo2KcG+J2sywlNcnaxVDTljdI
CKfHHAlJj7ZN80BrdJ3VPQRbegPNhrLSuMas+8yINacjsSjeWjtZKMbh1QMEKsTmuLuLtdpczCoe
CTT1ZRWNWNFTKJ9adN6NigCttub0zk1xl1VeqhWCBZhamnZi7XGIRFCmdQsGwPQIdAyFD3U0xjKa
LGWWttmVxZ3WCw7T6g5Bgfrf3+cDmhySMfWI36/yH0mXuGGOTKdFPS0uBW5orWHuF6sFCA5lgFT4
ji5sREA2wNXsmL3honEH0ajk62Fml8g3g5YZWGtqq2HshWlxg6akuwl5+7npkNUGQwT657VZtuPB
2nfKXRdYSFoL5mJxHLyfXGg3/v1AbhO3fdHN3TIXnfRmGg+RccwiLwIVV3usQBMoAliuTv2ZOc4B
oF6AYCdGdSsF3qOJWzBMTo5a7EMkd7eP55qrOR/Y8iVnd3NuJbrEJgwsQceC9qWV7mRZ4AFW96kJ
DSiE4yiv8vt0kPJFHgp4wkS9iVIFNXchuGl9vn6b4LbqZBQEBQzMFziuKyfKnO4u90MPdN6ucd8d
JDf/Gb90z0I6UNHQuPumn2kEDkPYRQdbfNc+qJKNwov9Q75RXQmNwiVIvrbXa9WD/Z5Mng8jzplV
AJ0JxF8sO6x5aaifs3fW3EiZqLtstYJsnNnivGUwBG0agT4TDEnzjXbSXOTX7yyn9OJDAxVX0KWB
4k9H+P80C2qhgnm1OOcZWEY9VCq2TBSX+yKJbwzC/uKOPR8cd/81mjqNSYCJtIxuV2gDKg+5zSgT
bH7RenGOo+rTmiig34A+iwRsi03z3q5Sl/TPQ8Lc7b2xfpb/OwU80dpUyurUG5g1tSWuUXzJjNQ2
TMG8/UJZX7vC31Y4j4HOW9LIqPc46at1Qx5H1/IDtFMPX9tT4LNj/zTZou2w7n1/m1wm+cxJBbIS
U6vBWoUQJkJ/Td3cTsNtZSDxZri5srM0f3sm1w0CVY/ACLzovMtSOiMeddbhxfI+QD04vUkf5iMI
kN62zazHRhaEfHUQ61pXLXllMqUDIbBDofGSHYPxnqF7TFXejGHfAaZBbKI4QMrZwBcJHMnqZlng
+yi8auZVz2U+zimKkzAdNce8ixwZVd4o2QkGuLr9z6xwm6VPaKpHi5XGA8bqWbdnPz6Wb3nphYZT
n6ZD9Zx8kRZ1e9F7XTQ+bs/0JJ8kY7l1LHOX0F2dNWgZ/Rs3dTY67tqp8njWZx02xiwEWh7OvxMc
6VVHeGaBu2DCoSxjSYIFLKMdSOBwEzV9XZM8IbuMBiTAUaCEDsz/MpFnhysLLHXO2xFIGmfYxU/M
1X3wmO2NV79ARqe/Nd5jP8KlZvrNzRcQce0FD5G17t+LD+D2yKjHJtCt+IDRvQ1c63t8qg9QHTMO
yZ1mSy4II4+Ft70vV8/32Zi5zVHo4B8pMnQB5GbykiAGsrNsaG4gHw4tKW1CWZJNT4ApfKAb4bBt
WjhcbtNoajy2RgXbYE3u0UztWvfgONvFj/mbfksjR9oRy1a82KeCvbTqbSAdjhzJorwEifTLla7S
oUnMZaVjPXzMTDDyWC9DU6FkXd70DQVHpvxYj59z+4oeVo9IIm2kZSH5m4Oq6PBQwLAFyCl35Q5S
Nqi1gpFniZImvkwneU96Sf9hsRLcFGahfNme6zUfgI1tAP8GjTK0Hl8OeIwHpY16DBg0q0oKnvb8
fga53LaRNRd3boTbvrA9xiWBkUj7HlPgNvYMMVFXvzTd67al1fk7Gw63a8exmsK+w0u6HCGSNwDR
AbAUaOAdrf26bUk0cdweRThkMOAt8LS0PsIQfCHPVChxvUSPV7sBVEboeYRwHbJ3l4tDAKRopOXY
V9SdbwgohrMb6R/9OLx0p2i3PZ7lt65tmagPAnWAqI+zpapVBWpYdHTkwQcFARYFpq0Eygmi5NaH
JvlV+LltcH0C/zPI9yCYrEMnI8ji8WjTPGME3NMALzuAVdtm1o+09tsOF6JD5UFVpmqxc6x756VJ
XPUHGD57YDrD1lYS94+Z5HBbAM3870wS9XLVykJXajVf9mDqG7lHiJuzZ40IXNXatXduhfMUeq4W
WVfBila/Z0jnl4Jkruj3l7+f3Xk0NuYxzGQkZ0YnaUN7SETh1eqOW8I6IG9B7sQnCvukYRBsVBD4
0Oe6nZxkfK1lAkgU0FyHeEK5NBbshVU/hMY2NHCDrhf8YJdjCtuCAv0Ai5ZyE4PWOU/8PASLdacg
g+Bv77vV+Tuzxe0C1WSSrteYvwhMOxJK/JrA1a2W85dW939Hw+2A3JxyUo+wUKH1KjmW9XMRPtUg
Zqx2HWBuyCIkRyX0BwDzFDQw5aKgZBnBlcdADVEFrb5qXkXmwZAZCmQnke6PFMguZrSfvpBYAmyu
TswCRHpBjhL4WD0xamT34FpKC2dBUt4qYDOpbSDORCdv1aWgOR192TKkBvg4jarhUDWBhi/qnxMw
zg/H1vK2l1VkYrmAzo6FlllTFTOCUDChd2mXQw4qucvrTLBTV8/G2Ui4ewyXS2/GM8w0PWtPOoUo
cyApx2RcZC715GhaDBrGSXgiVSHKd62GX4DU/TeN3NU21KUygUc4dZ4g4aLfq17wFWIN+V4+aY+Q
iPLUJzjPvegFu3o4z6xyF9DQdrHel8uQtYVL26/T5yLaFZBmFbXSrx7N35Z+pVrP1jBJmt4Ma1iK
IPVTE6jaiajWBbuEdzRUKyitC1hgBG+q0leBliaZAFsnGgbnYaxRKYH9xTL1yiuFNMj4vL3VVxfE
1CDlDhIKdLYsgzybpjxJ8lGvUM6LkZ6XdScDRxu7lYIHtB5tW1ptdMPzDO9s+DO0NXNDSZmSMOjG
4so0JzvQTn3/kwXgpr+Taua0kOzS9jT7OgW3pf6ARiiB9bWBotCx9C0ggWLwoU9O0miOC9QhhkfL
J7viad4XqU0OrXcDRmUgiuyb2ukgtC0ALq7bBUTAhHgQgu/l72cTHBhSnkgBYGy4Cj/qCE2z4ze0
BNyP+osGAtLtUa55FDDxgLECTdcESfpLY0WB/Ia5tGeoRHbG+ZQln6Nm2nrhRPmpT91GJGK3ahBa
eYvku4Hf5gxKJUKUEulRQGmK09R8bUykQce7yAS1bxC+zNnkhuBF2B7l8qP8nYSgwVzox9GqxFe5
KfI1NFfQH58SNPGkB7U/Tb0ocFk1AuJPwKzQnEl4sjnoK3YoKiHXVkP0qAnAuhzJuyY0vO2xrALJ
gCGxMBz0B+s8jKQe1NRIoSbvZDG7hXDzPCFxXzd3mmF4aMbyoyp6IFR5mhIoT7GPbetr3gXUTSbe
wNDNRTnwcr8Y1pwblbW8PUC7LY03ffFj28DqLJpLhgHnHW2knIFUJdUoawgfaDDvFsxrKcl+CMje
tpm1F6F5Zoa7sGWNmaBhQJSkUpBvqGgjy/wueSZ/wTllnNvhDrNSKEMPDnrEy4hhY+DvUoA6FbCz
iLCOq+fqbEDc7RybgdGVM+atUGVw3nwAXETYc0vuO+rmRbxvzL9AjiDEwzVgLkooPKyjHDpLriu4
xzA9TvO7bOyV+i9wyWAhBtgdtCU6NL0vN5ukJchUS8iBWkkCWU1QEOJuFpXA1nb0uRHukjHSOSFR
DiOZYT7IRvdo5U/be01kQbschqblWTFl8D4VSJsVqM0zwVKsPmaB2oAcL0EaEqDaSwupPMXhUONU
NuabXIAE4TSpz1L3JYkeocob3Uq3yILPojf02hk6s8q/1CLE2kxf8jdDOqMb+rWtqV2aLkTctudv
2bq89z63w22DsJaHMYcgnaNURr6L1emxH9/q2Xow5u8ZiEogPvS5bXHNCZ1b5PdEnmpFWuAwpVC3
NJrM0bqntPK2jYimj9sWmdqoYR1gWL21m9PIng27orYWCV7sIjPL7jwLJwraDNpIYabEi5ONk50Z
n+2wL0U03qsg2fNJ4zw3mRRGVcARHB05/XD6mAMs2G1QPtUQxA3TElrrKiK5vwBzoNwEUR1Ug8AD
xsPJrSREq9JyHbJePrY5veu7l+2FWjteS0XLsvDP4u44Jx7oxTCiaxImaHVXLWmBcrbjqLOzREP7
eIV02JFquTvo72P4rpZ/QWIHLAnkJNBiDe4dnj/P6Dsli1VcIjKq5UOxS9DfIH/TY8E5W9n1F2a4
OxEVjpCkFGbaFq177Xjfkupnm4uUxVeO84UZbjbbbq76eCGJYU1yS0CUR9Ht+jhS67YuINGB9MD2
8q3cjBTvfuAnQCl0jaJIoHlaJQ2u+sSoXolaeFH3MwrAKjY8Y0uhE+zTgrr3ts3VMZ7Z5G5jiUiD
XrXq4rLcen6u00fb1iBDmrQCsNTqmuGdgLgWvO/gA7k83WVTZ2G8GBqmYteZkd/P2bGaQ8GbRGSG
G4821iEdZJgZ211lPCSNz6L99pQtX8p5eSqbkPYA4BSHmUcytUFV5ilaHp1+QBdK7Fk1slZorc7s
VlRcXR0NyB9A1IjgDCWOy0mzZCg7dIupMRrczthrI1TLRfmSdSO6iV+DKgoIei+NNJmG5lbdRNYJ
/BLgZpxANaGHgpt/bZ8pMtC7CMUxbTznShiOqhR2EhDtibILIlQ2EgLieTK5Vg8RUTYicRoXgpVa
G5kCbgQTLyn4JP4JlwwGHsZlCNL91pQdq84ql1r94MfaLBjeyt0FTtrfljiPNM/UQDsphhdZBNRL
5AYiGIcwj1zcNIft7bc2KBVIK7Q8oq5y9RAGkWXArBRJ4HI0vEEGV3hieFNtCW7jtV2uGniHYq8b
eMVxl35FO4sVMVJAVprb8bQjmEXzZFB7SvztAa3N3bkl7t6PpGwGdRUGlEs+eBttg372ltdrz9tm
VoJbem5mmdez8EKRVDnEcGFGn+/pYO2KohQ48PWRUDzbcZQgM8SdJJYxipIoMlpZ/nMC95X1Rjtv
0P9mA4Cp918rnIuLU0WroiVL3JUPRQdtZm8cd9tztdaPRkFUiswOeJuw+NxklWOfpfJC65WhlY/9
KG/ip+n4IjnsNO51vz7FB3pEPfce5Px3QC+fHheqEVE3yNpOP/8I7lDFWWZ1w/IR7XQ36q9SFzty
I1gykQ1uyepxqHHjwoZJfBK+DwpYskWAvjXfh4K8RUHlDhZYPnU1MjUFlzTuJDBffJZZdNNr2SnV
Ep8x5uiVaZsKpHS2V3AtllgaJZbsHBiI+EhMR1PW0IYYV9yX4KK5S3BtVFlhN3XoGKUH9o5BlLta
8xjnJrnl6kuVhaUMj1Fl9A6IOEcdsu99qUCW2fR7mgmcu2iE3MqRGsjowMCsTkVZOC0ZP4JSag6s
b96LXv4qW2HhBbF1lwGPLJjctdIVOgRksEsuHC74n0tfkvRRUpUTZhcQMl+L4wO4tR2lz72etntc
NshGJi6IlZ76XvOBH/XM8EOWwgcWCXzBtccB9YsOOQco+SCy4vOFAwOPQwz5NId1FigGDnH5LTHf
Depv76b1Hfx7N3EuR0I/8chKjHemyriTS+QLQfHZuxmVPsYi+CoXym2kiyoq14NDlQZdRQt0DVQu
PFlOOGfqVErLFTSc8FrTxtSeY6cOfm4Pbi1PCTsGVYylhQl4wMvVJGD9GMG0BWenGrdyajgTM1wI
QO0qKTll6dfWhPQ7SDv0cNqHevd92/zqsVnyh0hcgyJP0y6tG33f16B4wpup+N6mGU5K7Kthj0ji
A41wgp27OqVnxri7VtPlOADVNnJhYJMvjdd0Tg9WE/q69DePGfzcf8PiJlUHbUVi1BjWFIF9SDZP
NKcIx+m+G4v7pJXdOmptcxb2oohGuPz97JrP8UkghofdKCn3oBJ2Eh1CfKChAAH17ThNDvDpDyG6
B9VE3gdd+5yVxj2Nh9aWWrar0s5WIJvwF0v8213wLHGgnmH10C3HBwUDFvlW6BrEBe2aPX1uW1o9
qGeWuNEPtAarYoTRk/Eb0eyM7RmKXwCJBEuvaC/YuquX55k1zgUXE+jBtGVcUEaz5ek9QHpaCUV7
VmSFcz7RkOqSzpadpKMBxANNio0gWLBEq7fJ2VCWv59tG63Vu0hZPPrcte+a1d5EneH2wSv6Gj1i
xF4cfeRojtleLcHIDO55Bw02I0C35JJzV11IZ0ODId6VUiuIcdYiX4jW4RUE7nuI/3BmKGtK3YLQ
pxNSiFcnxh6cSru/GclvE+rl9KGxJx5DCX6l6cNjQiOg+aPXYJ4FZlYP99lIOF9ZaG1hthNGQqbw
UDflrdI/KbkJjI9QBnj5Kf6Vj2gNJKHoNASojJs0YrWNpEUWgk/Qq4+jPetPDKzn2isl7+Psd8G9
DgV3AqqLzmtEHbtrBWVgdX9b5+YzQljekBoDVZFIK8ijER0j0xnKE+RqWPcJ0iCcAigE9ioggoO3
vZirTuTMODfLDR2qrl4SAkUMnunEmSHYHXdumH3JLZuIWHzW0rEXY+XupDCMyijDk9aJ5ju990pg
/vV+N8c1wrcnTXpiqjuKZIBXN9KChV4OhHbF2ylZbJCtAjbLIDrkdQ8hs8bLTWnXYYjbs7l6vy+0
zOCgIkjNchupn/RsClSkBvSoByRR8aSO7BgeMjN5R2z5xwEhmPMRzVgylcHoyddcpyIkukQKvCs0
2th1yn60ldU7amjE9qzqX7bHtppwRviJDkJwMUBQl9sqYWGZjazDHICPBGKt5U3bVIWrt+F4AK2t
sesM7XsbV409ml3haiNEB8tgfobsqkje7HqeEQovNP0IolBr5p3pUNRaB0Qhc4g5eOrIwE+QulFD
bKZ9DUfibI/82nVfWuMO6NyrfZLUsNbO4CdXVY/Rh2r842TmYgSs+4AELFnh5SPOLiU1SseQWjFa
V7Ph+zAa44NJ+y9F0haCZM/KaLBZUKk3NDSq6Hz9UidSNCIMZo4lfWtAOtbFniGiCLi+YbUFRgEi
ZBnQBpNPMyrdODD0muGYG58sOMwMUjqHmoKmJD0Vxdv4+scLtOB+oLmCjAsyjtyFLrcy0nDhBJHR
yZPMvW4+z3+OktLOTfA4rFIddJmWMFFXtyz8WkEoPvf/dBQqRVQCZBHBEbvS61GzVhsRsDMnYdaR
dNC6qOgtE2YoVnwwatfLVC34oUXe9nKntUnYQ5WjRxkgfjLzj7J/LCB1NPUOkJdR7jWStJT8tsd2
7YNhE8lt9CtooI/nARSSqUZxEcBmkjlK8xybNQSWDsUgYuIW2Vn+fnaKqNolIQhBET9Sp+2ep9yn
831N3v5/o1nc05mVMhkgd2hiNDo4fiITDffKM5GBbXnZtrNyVDFr8LkL4y/UQjiPW8URJDDbZTTs
eegfc/m+EukqrnjSCxPchRzp5WxZi4mRfob0oNRuWACQ9HMW1fGuA1OcTxmiFuiLAwCXB5C1IIqU
pqV5Yywfw9p6ks1OUHVatWDiaY1MOW4nHhqnKUkUxAFKal3ttMkb0QQYxrW9BSk6A4qaSFKgeHK5
6l1UTs34q3xGvzSarwWFnQb3Odq5t1ddZId7A6ljDrjrgOS1kbkhY3ZIQWSLci4RjGdtvlA8RvkW
mV+QgXPBStfiNVIayC3X1r1a/MMGVXBv/socX8bVyAogMQk2AzALAZdzOWOGREt57PGaK2/QE3X4
poY2dSsv+NbsJi+zZfv1Vj1qvu6h43S23zJ0O/TH0EWuwEY2BDjtj8ALgRSBXtVue45XaI/waVjE
RbVsqbBw122N/sh8yvEc6/TSbsYXuQvsCKxSaGOx6+LWsn4SI3lstc5Pk0e5b/aonr50qubKSg2C
5QLuqxI9flfOInJ7kJfBVQOaEP641x0LGjBs4olosFMwd6c6VnZapfsTjuU0izj91sxBhhanEgUG
7GhuCooCegEDxT6rm7n8OtEA3KHZbFLVKRhrmJ1MCgFZWlfp+1zK0LVKSE/teaTDMYS+rGd1MzNt
EI0UOdQ9zYVkOembLwFyww960RPd3V6zFW+IKxhS6YBpIr3OlxXBXTu3mjQwJ573E3mTk5taBIpa
NQH3YcggwwBgkjviUa8q9Uxxy/fjM4p5U3qDeHp7FGvXL1puftvgjvekg2gbnOqIv+r3+RvB6gKt
q/+jxt+6/pGFta13mcDm+rA0uF4LnT4av9mrsu1IgcSUo9eHMPwZQyhb+9ge1vU7EpsWUqD/muAu
3kCRzQyLDprOwBukffqz0d0kv5stT23+IoA9N8UtkjWFLCIdTFkQpQ6V/RB/Q5VvezgrZ+NiONwi
pd00NIoMG1U82TGzCX2dzMy2lJMm8pIr7v7CFBeOKbSqA6WEqaH4rkhH1vwsR2cId9sDut52Jhzx
EvQpqBDBu3BmYjlqpA5ykHh5sxFDaqHGBXkEM47/SSNAdmlUurj4cg/hU+hWdKh/bn/B1SbEB+AH
0KgK/nNcB8vfz4KmYhrVkrX4AKXqQxv/MUo20/AZSI1IQu9qL/6yhEomkFF4ifMsjEuOPwFKqHYs
ErzlrO8dC+zkXovE5agDLA+EqF3rdBL4p6s9w5nl9kyC0lSgKTBbAXII1veYuiRldpQHdvjHBJqc
LW4187pGZ42EyYwb0NblWNBy/zfL9d8kXj14ahTYEthxYvMOZNr2MJxqEaLxautfjoJ/ipqdbM1B
ixkLQehSS0CvqXYhh/dt1Qt8xjIfF5HIYgmQDQQhirrc+NzmU6eUdQSjSYEQp92I4h2uK+t11ian
idOHrC7tqakESBGRVc4pykYc6QFpsCOS4wD1hdK4QY+KPSnOuJAclX7UZv72sq1uwrOBLn8/O2Vy
NFAZZVGw4PeqWxYKOGO75zSvXFmX0J0iiqNWV/DMHLfn4w581qYFc0yfIPR5MPrHqpkcTXQxr9pR
sXTouUH3HuGGBRxZrkwTAnvDKk5RQB29zzypBCFKLmqxWZ3BM1PckMCyYvV638JPNeAT+DDGfZyO
qLHkTm2Icr/rtvAqBu4GgTL/FO9UcyizHAdA1zrTnooPGrEjMkyRixzbvibC5qUlpr86B8sz/H8N
/tLkPNseOpW6vJfhN9BidJBLcjTi5tSE8iHv3tuoukcniY2a0k2VyTgm7LC9OVevgKVQCE5HpIZ4
x1yNrAgY8s1QRCndpIIE7fwZ6IHAD6/ulTMr3AIWEFHo2gRW5Ch2pa4/yFHidxDdZXohOOCrtyr4
PAAAQjMAvcprmGBar8MMtqTWU3sGXU3AKZmrhtA7ILYZQvBDs4mI72J1HsF5h0I2LvKru1ztjCpj
wwC/MkECxhhKW9ES15BaQU5y1X/9tsNj6adIGoJM6munSC2Had8gRzvkUC0GBQs6kvX6u24Rb3uL
LItztUHPTHKP0tFUc13SYJJhwazIxX3dZ05TfUuU3JYNwfqJrPGZXbNE57WJiSSDrQbPofRkWLcR
eUYaLBQ9t0WTyT2GByM3SC7DltFX3iy5yE21M4KR17xH35Lipnjvbs+lyOKSADg77ClkTgD5g0UF
OL4WOheJFXoDctghTjaKkV9YPN6jQefHttnlZ7eWkLtrlVyJe7OA2RBYlaxibgRm420T11xmy32O
UBLMxQRIDh5IoeYAc9N4QnQi3UT9a129t81Jg1CUuoeCSJ3vM+LPM7OD5NGUoSGFNkL9RLuDBuHR
MP7T5xX3Mdw819Bv6SeGAffGU9ZNXpmekNETGFmd1bMRc7PKNKDjhgojTtOjVo9eNbXu9qSu+k10
yC+lK/CU8l10FEvF2n6GL8MUKv2PhgQLxZlZieqtq+7rzNDyIef7kmhBmVQwNJStXfQQ19FeFUPg
u66NQIEJLRjo6ISihszHljVTVAYAMBwJkhgSpJuKjvhgFv7jZbk0w3kQicahlmpYe3Al9qgqytBu
iVsRFdz10lxa4XyHBGKDtm8xGHNW3Sx5raHvVQWfg/7tT7fAYgdJejSKIkrg21bMsdQTZiD2Ia2x
gxTyvrYopLiGdjcYqigTcu2eYGxpY8ZmU7CzOVevmulcohKFdmVsg2h61hLHpG606KEmHt4eOLUC
t3F9hi4tcouVRZqRhkzGfWbMd7Sp7dYKH7dncHXbLeiL/02pWdze7umIDs4Jg5I09pnnA3lLCQ12
QQoNqW1L17EjCtpovEGDBRpf0Y14eYpYKc2jMhGAntICGlr7vtXuSKPa1VekWbdNXbMsoOsbegYL
vBRNlVc9j11TqKmZGQgbJ0d59+Xn0VYfC6c8ATuX2pU7vIdO96mIevl+pewvr5JLu9yCKXiamZOh
1w61X8wju5kfGm++7/1HBTLp1O7sfNfh/6ahbdkvujc6/VuzkzzT1T1Iku6TV8UxbNm1nOKmcFtv
eNN+bM+MunzB1hdyJ9MsihpSZcsX3ke76KV8o//D2ZUty4kD2S8iQoAA8cpS2627734hbN82+yIQ
69fPwTHTrlIxRbjDdr90RCXaUqnMPOf4kcs828cX3FR+j2T2dGCO9gTas2irO6uEb5chzPkUzXv+
xJlOBNTS7YAPgDpjXb+r5oua7Gn+MOq4KVY290K4e25MuoRiooWlMsGYlnkqvdUNP4RcGEHLb70J
quc68KdqxSUtbvOTrScdqLHvkiKOsfXmWpveorPBgjB66XTBzlq7AZfmUjdVgpobzi/EXs/nEpCB
oCsVC0eqdAZFd4Cvc8YO9Hlh57X1zVrP+2UzKo7VqT1pexcxhNATsG+4Rfoq0LxA7vLqG15/rl3e
KiM6kTasdZs1lvglv4tcIHAeeDmALFxyHEM1KFGaBdgxwz2UFZXYdrLQVyHNl6KLkryytT6VJZ9I
5/4UZB5R/ZXL83YM5qwRqgGuSDd9/c0q34Zg5RxeNlFhKk9syOkqbmiVJmoFN1ddP0/F5LXt9y6N
v1Fov9aj+qBW9KYyMo+wHlix0E+nd8A3VlzyZYuM9BXSBkqyOMJnYKR9X7mV8YMHxWM+lBsV+MFY
e5v6EE+Zo6LE27prUUrJ/jZtLdmXNlRaqkZuF5gFE6gaDkq0ib5P6tFIHqxhhSxzaRedTrjk+Mqi
q7jVYKgE2c66goSG5entl95sEGynzc7q/ovzObUoebrS0BOrmWAxHV8Svh1yNyxzBzVGT3SvjRX6
EDGuyd9nWs83luTyBnCd0Gm2OlivJagc6VrMtTaRkoNjuWo0TQUDTTFFTggSHgUs6E0RAzpS+roe
vBVK4UyF8XT96lpydqfTKbkBpQmqilk23IAOoaLhmaaQ1RGWW0X/JMk+/vuszDyPyJFY6MKD1oy0
XyYBuGtGsDXD/FcvOiRjnAKiMn/NEfn7BPwxI20SjQedas0nQEzJLmjGWyqoTzS+8rpYCshPRyPt
CiMWIWl0mCHNU9HPl5K+KSrXQsPt9VX6f1zKnwFJ20PnwZiECizVUeUOmfCN+N2cPM3aQskK2grz
E95wp8jTjbVuxsX7aYbxMrDJqmAVltwZGxq1nGjYuH1m9P/kKR22MzPFvqgsiFq1edA9KRVt3qGc
y72ubssDNarer5N8TY1pKQqgqgZMqUrBuUHmzXwS5eiZ2cZWHTVu3lEvSl4qkDvglUCpb8UrpYLf
tQA5pDu1NR/YE1vBYHRx2mDUVt16oJmETRibklcOuEhtf+b66GGYN8JIt1wzPy3ojRL0eHZDfyTd
L4XlG2z/fUZ+2mrkAh691Qdlm8TBE68TqFNAcd1eA4quzY90upSoStH0jW9WyD9Dse/rTaXclEji
krW3wJol6YDZkM5LohyWmB26peUX1UtJPkIe+SV4ca5v/kXXeLLq0ikLkcCiECZGHj7biBrcIS5A
xGBmrpzciF2lfVfjt+sWFyPc08WXjhuiF8WaTBw3w9omxl5pfaDxlcR0gxqqFY/2iPxS66wYnVfn
2o6TXLEN1d1WWJhTvXq0Wuwm4yZr3rNJ9RuQIha1cNo5Zfg4Mqe2DxDkW7G/GKCBUtdAcRj4Mhk7
zfUxsBoRN66hHnHhub3ZOlAqmpI7HPOq/sbCBpj3J3Vwzf6ltw8mAdh1TUlWW95Zf75Cmnqajm3V
a/gK6/7e/AR4Z1t7yR6NzcShrkD05vQe2Zfuz8qJnF8oF5JN6imbzLe96fP6jCzejScTIi2Iyqeu
hsdp3EEB6b7Wf0MSA3p3xei1hO8N2nhDa6z1SC6+JemJVcnJZWFoR40Kq7VnOcUmipx/vtl3sRN8
RXhGovkfEwDtEAewTqC49spuWHtwr20EyfXFWp6WGZRK3LR2ADx2+8grqzXVHn2OQi+3+78LbUuI
yhIJ8CQzYAVMZLnf7jQI3pn7H9Cp/2E4+tfohn71HigO8+J9ceh84aAh4lN/+qm68abco1PCS731
Q7iy/+R8VNsInXXzZ4WDCvb8ujKNTZBGqluG9fCqdEx9UkFm0LtWH4lD08YA8iZ53P5D1YRCmjQY
7R9gg0luuka1b4nImXDCwqbj4zQE4rPsUn5UuyYAPM0ymie0aLebMUoAKNH61PZKGy9bEQ8K5CKr
ym6dKOJB6ENMmx/CxBA7kJbqNyWUzx3CFfVxIK35jOxDjGStZdFdEFXsPW/64JDW4Rg6aK5tPRwp
ZLz1frorLDvbJspgb5uiKX2uKIAFs7Y45gDqeUguo8Usr8VrVo79ITDtyB00XiKDbrPiNmPUvi8B
w/0OdTt2m7dT1UKtm2mJR8rOMjeBQYuDHg3pxggs4hXoOXUg+kOR4m30z1ik7UOJrZ17EIevUIee
Cm8SefSiJJ3pANjKHkTWjSAaonXbOOY0qTtRMQPIPTGaPwkm8CbiYSGQIWxJ6PZ2RXSH29GwQ9dh
sIfojQXm2gT6Pa1t129s6sYXUO/xBzYM0X1DQAeGfl11z5H89LO+I79irqHxuazJZyc0e98VEX4x
YHW+qUaLQ5x7VMW+RjHqEKaUPJKgD3UP1Sn22pFO3EZ8NCuPc1J8BROk64PIbIMZdKXvVJZXaG4M
s5oeWjTRmY4WCbvYIJVFW6cOAiNHsSltBwflIG10WKKBF29owkcaaJBUL6ssuGtsU3vAQz3SHZOz
/JtVh0EDlskQfC2NVStovOOWvSO0oA8kSMUhynXl1jZFJtyKgO+9NoPxl9mY1C2npBDb6w7yd/r8
2hmWXpp0QqYwJTgs2m38hFjwW+I9pIfA+wkCia12X+5j772/sfbjJnIgIrtiffYQ16xL4U4eNaXd
zZ6SbX+0SKrtomfwmUyPhaN9Tj7zk0eAPq2jdR/cWbPfXEP5LwYmNjDEUF5GEVYuP40ZjjUNU4xe
lNQRI7816cT8oO2/5wn7mdbt0SqwaEY57q8PfTkmnymhceRACiLf1THXrbwawBKfqc0m0MHsWDL7
expxuqn1DjeDqSDoVJCWJRmPHUVFIqksi5VEw3wXXyzAyVdId7Ul6pIR1L1c1KTuAmXYUmU/5VsI
qHvXx7volE8MSTdxh9ZVBcW1xm15i3Rvm3ZOlQRHgyifbcycbpU/bjECRGswFO3BPoouUOnRo2Sp
bQwUNJWiv9Fx44zMq61nFb5ZhHjaeN1wm6yx5y+NEtQEM18Owl08kTHdJ08OKkatzWZqTFL/KCzc
88a7WRsOa9+NtU6a5fEhE2dqOgNbpvwQDyMIeTc1ZtQkL+EApP2NAbC00noMzWoW3cTci9U1oeml
wAIs5iog/jq6JORiRWfHYdWJooEzKtDgmtxEIvYrPM+v75ZFM4C/QpDiNxJI8gthO+a8CxBIl9Ou
Tm3HVG418eu6jfmBI29948SG9ADC2xdKjxpshFbFN2otuj1Pw8C/bmXpgJ1amUd6siOCcdRbrsJK
1wP8mXKnB9yk17x6CFceWcsbQkdSBiVzlP5k5FlsFlWiKDBl9LU/9QizcYcwPrm8KfcgDDOdAnm2
qGYerfQ1V760YsDwodV6JpFTZWAQXsch+rAFSGHRCAEYaExMRw+7lSzKkr/Gif53iJK7mlQ7bXmP
h2SqHHHYPFC5fgC58Joo2Tc1wCHPqFOJtQrd8sxScy6YAauI/X++iEaK1wIgro1b1btAd1J124G0
WXMnzTWnweEqdKzX2NiXJhT9MxAbBWUJanWSw6TtqAA/gqHa+pOB/ZKP0DxfuYQWbaBhzQSQEH9k
5Zch55NdVhhXZoY3XNtqXbWrqn+un4DFmw66nv9akQ5aIlidiR5WYmBO1THCNZY+cYhqNZS5EGHr
3LyuIb3We31tvNh1ofyHu+f0A+ZpOD2DFYCnZY4oQ6Tjhzkg/TbFPxW92hEInNZi7QG8eORPxitt
UiNXu74LMN4i2oruLR7eRfzWtStHYaF1BolL4OqBhrZRfrKkTRnkUa6WLWKXqU2/JsK+wLziG1bq
6E147OjPjkN4G1xMTqvHB6rlDsvT2IGCbe/YZpQ41fBVMfU2how1FWtxxdLD++TjmPQ0LCxTxGGA
Ke8nh8c3E9u2kK0yGjchED9Z4y1Z3sdAjgK2YDGgIc8XWAPuPwjnqYA+hVMVqlcr5Z4WxUqyeNH7
zOjR/zUjbeSBqj0UqmAm6d5Fdd9OiTfSDcsY6IzAz4Cs8RqB+trApJ07CjXgUQeLJJ9cwcLMYWg6
LsXAVyLxNUPSng0js6JqM8+g9ZoadwMUSirQj173BIvzh+bKuZ0fvb8yqTO10iqeBbuhvYvHT/re
J3fhmHhN8B0oRVxQToOn2HWTi2cR7P5MBUwa+WYpIMuqtjUDrYTvMTaMM0i1Q8brdmzVzXU7i/OH
blgDFH/QTZLpwlIEfhNIfXH3omt6ovsIOT8wJ/rXrSyGlydWpFXK2UygNWECuVEdC2CPNqFQPi3B
JkfT2scyBKvgdYuXrFmow5ze65LJQdhpb5YdXmjKT9E63DpGKJ6xgLuKinKT7iCmNmuPJL4WfQv5
AHJ/a6W5c2kNTz9BugkHPcqyJMInWDz3SGRsUvo00uGhbh+vD/ZietHDBJgJbkPwc0ESd17k03ti
6gKwJwK3N4IWzAlS4qE158Di8jgo4quI27+O2H4bxKaZu3+B6ZF2J7A61hCymTFEqeGFG+L1enuE
yqpnTaNXcxssWjl0xvstlEPWYIPzj5/Fv7NxgBQpA4YHzceScQhNAkg0geNi6Gyv7slOIfbGItDL
MYyN0uqvU9yD+wKiOdpLV4UrZefZV15YR3vi/AWg45eBHAXgARM0DgG9Dn/0ERprmrXuxIttg/Gh
VQEIPQvvI3iA89XMunDgeheAJTDwabTn6s1Q+G3xcX3PXMaGkhkpgQKZWgXVUEwjeas0P3zVf5DP
0QMpGQ2dcXvd2IWXkWxJ99xQRKowQtjqrD0eEE7M7222duLnH5FXBg8vvH7Q+oaOXOkUNPUUT3UD
AtbCGDZA21QO8tmqawl13MIbpE5h9KmXlSma4hMx3EHMAZlQXI2HJm8fOzGNa180T6H0RUgPQO8V
nYyGeSELMSU9XsAtkJYjT33QrqFKqzpB291YHPUcrd5ZdnUHzNB2NILbyAofI/63zUvzxBugggQ+
AP+VIat6HPQUMh9gjdB+gS/UydldQJSH1u7BSDqs3FmXAfNvawjqZj4fPDmkZda7BuTVM5dPpeK1
ASXBox3o6EfjJf/sYjPZgE3gXoSTdafp5DZhiuUlU7pyQH+vszTr81MLD3AV/glKDOfnJzBYNHRB
BCKTyuzxkOxynSArldMXxU40D6ngGu16Q1pEN1BqwCGLkxTJO7SNT3vLSuqXQU/byRGKRb+zDknX
VNEn3CA0Tw+Ej0WE3h38ktMIs3kp7Vj1qqBC2rQpxOiHk5m/aqYAwlWU6gsRVPnFi4Zv7UTR3owg
4LtMjLmXRHQ6RjHNwTQaBGi7QJr9oUWe/6/ftyj1omQ9zwToVpBSOp8NElukG9UYR0+bPMAp0NT1
LZjWxOIuD/i5FSnCDOwiN6oMVmL9JkqeW3QkpKN73Ylc+kXYwD0H9R8G9h8ZglXVeRlMNmxwdG5M
EJAFvQ9Y5yNQmV03dHmdnhua3wgn12lqFyJAcz8uGA26YcrPkN/auj/VDl/r7bkILOeUAyhwdEtT
kciVAfdK0GYousBlgWrOKO672BPWc1fe4aikpWflK++Ai8cNzuccxYLeBTwYaBGWBjagPU7rigy9
4hBs1ayHwvgpQNmaqrXTMn0zrMnWLHoEkPzoM8J/bhSWLKK4QvvWwvMZqASbPQIgUbTvhfUSdd9b
+zEGER3um2atReByN2Kc2Cl4Us1dIzKxQJ9po2FlYCxDnWw3qAEilPTerOnKdC6Pjtk2Ukcge77I
1CZQBKj7mf+qDHpI2PxoRhD130y2g7Qmo75mHTrIRFdrMfvlrsHwbKQxgdgDTar8HGFUWIEJsIRr
itepfR4qlOeOQnFS5ZXUO3WNOOWyAwjbBg2wBBlbCu1CmWm6LdsqhygHyK7Ea955g+6S1AtiX6SO
lXzoGXA2O9W8Y9X2+jlcCrVO7UrnMNGiQukZxskasY2tYdePa+pUl0cdQwMEAJMJFM8FW2EteqFl
BVYQSvBVs+f9buT5LEOEBv2VR+TSpjw1JcVbaRkiBQDOC5eFAvB6c8eMzCF5trk+aWsjkvx9mEC+
tY5gJlCRUhwehvTDzks3GL+i1Y6JJX8CaQLk+mw4FNSizv3JzGLZFL3ATQvJOfvJTmzHNh7r4LkF
xMFcI7DUlvaDCU+CVyrYvUzZmahcQWpInwM8yMII1bGrZ23CyvkKf2yCNwizK/S2Db+PpZuznQ4K
iOouAnxETbasuyH0q1a4k1fP2bQrTC8u8qe/n/rT75P2q8kbPTVCBB7ohE+I042b2nrUmx8iXglx
LoufOJFwp5A5R/0ELk56Iug1a9TIwEzUuKGKeJuNYHt2eARASfrIzdGLVGR7ReFnJTx79q1C3T5w
M/7T0A/p8FawwTEHl5iP68n8eX/J0dfpp0nbvNUARhjmSeD5zUhyTL6PwgHKVrr9kuQbE/WrdFcq
XhbmXvEfSNKQeYZ5yC8g6S0/zjgHAxPK7BnaEQm6JiBxjwYAsnKQl9zvqZE5TjkND5rKLqDPittF
/RTCMcTWyjd69NIbuzy419aS+JdhD9b6ZEzSFcr5aIQx2ANc0wA+yXSofjdA9NNee3YuOQ6Q+yA1
ayK6Qi3mfFhI22PLlfC2etpBsHVfT08Rni1U/Z6tockW/Aauy9+yRBDLuCj4QFcYbSsUpuLk2Qxr
qOGie7u8D1Un1QH1XQnnFtbrzJq0Xn2ihZky8w2myX7iJSS6IxA9UMfUnJx+0yH6C8Xm655gwdef
mZTWLIGOc2F0MKnVuk9E6/XlLVnbGAsLdmZEcjdTnyRBPbNChn3u8OyAOBjT6jD0Ca51G2uLK4bz
hJoUeMfQQH2+OfIioRkd5znMnuNh38d3otDRRuMZoU+LlzihbgTAZvEVm8dg2ll67fUUhTQyA0hA
WS/CTR0AstP6EGpEFzGai7oNIoqUOmV039t/fwmiMvTnc6WpgX9sCy3G79dow7DRrqbWW4v/6BXm
W1/Xl/qynAG5nFNb8/Y7cQc1g+TfNEcpAf9RGl6jvMfgZrOFk0Z7Mvp1vKn0o636WvkgzEM+Fi7X
nmzjI8ujbbV2BV3CUM6+BqWx869pSBb0hOBrbEwzqIvDWwNA+ZQ4Tbc3i9AJ+o+2HraG8VDkXj/8
B/pDTMa/3J5ywVFBTqBBdW6ejIfBftEmNFCVhyFauQAXz9cfMzLYRpkCxW5imCmaj7juvbDaFbxY
OcRLfuM0eyP5jQoiBNA+RvZGZ/tu/MfsXjQdtI4HHv4o2SYm25WNNDtY6eaEnhoeg+D4Ywjtpcit
s6do6FUDb6U6dtGEm8WvVulnwWGgE5Bg7zpSKgIhzsowf6/JhV2IwCLhiCoxysTnW8bKlbEOShNQ
ead5a7/nvv5D96KvEq1zTryvUyf8QunzXdyym3HF9sI6QvEHOjXoBoGi8O845+TspLXggQVa1plR
jTEvF9tu8K9P68IqomdaBeKDWFCyJ9LxrHKrGnis4PrkMSpRAAdt0dIGSjrHiD34omSN3nbhvj41
+DvvejImUytqtRoCbBuaOFkCCFS8n9pjoq/kwZfm7mRgvx+nJ3Y6AvlXmtt4TyghuhKRTBoA2vkP
C3RqRJP2RtUaRQHP7UaQH7MDV7ff+3qlTLJwj0GwF5TDMx0sdoJ0t6SmMuV6iv0HrsBjU7auzoFS
6GO/nBUTu2Rl3hausjNz0t0QK3hCKAR7LtO+UjSoxZrqZIrP2YFhLtd0GNesSduvNlqUZQtY00yv
Tr5DzMWh9W5IPUN7TNtf1/f6wjWNzNXMhgRmFlzUcurTMjKbo0ssdW9AeLntNtlLuR0P9b7x2d52
ldfYpffhEXJod8o3EOD61TY5enA4TuOH3vVvudye558iTTMhgVm0lgKF2objsXEQtEMbz8o9f3nW
YAQ8AUgIorXrAh9kTDkqQQPGq4EukrYeBxg4t54sZX99MJdOBHZmlh2IyaGOLoc/yRSWpIphR1V/
pZaPNNbE37UicTrzMbd6NzJWLrjLFvU5bXtiUZo+vKsTNQhgUb//Frv6R+M/AxO3bf2Xn7YzfcRP
P/PGj120Z8VoHHKoFx8rJzuUz+Fm8nUfqb3tWoHl8pyef5K0lTPSl+qYz5Md+CA46exDIz5twyvW
UNALpalTS2gkkryOTaq+mLfxhA4jJHmDIN5YIghvwTKUbGI7NxA51eUXjczwKVJZtDVbO325vuaX
nANnSwA1i/OvIKMa9r2Jr+jdGq8GwOptX/zIiPMwehU4B2IcmxtlZ60cnMVpptCNYTMSA1xj52aD
2q71nCD7LPhtAxWQTHtk1udgeLxe8YSLu/rE0ny6Tm6Q3EhIXcx57rQH9SKgWyBaIVCfKOku6t87
+kjFCrRt8byeWJRcPaMB9HB1WNStbdn7k2ahHHEfVP+hEoUd9KfqIVMx0yEqhnGuRxDLjU3AioAf
AukjcgF1+yugTyR+Gew7SNVc3zPLa/en2CJt3CAkSWgW8/hUDyTqTq08mLZf2D7pV3LPi+71zwDl
Irga1hBgLmFJoT7aZ/vpQR0/rg9m+Rie2JAuf1VRKoDBIuiszArdpZ8jmS2mxreDGKIZr13iKOO+
W1NMXhiZCTYWJPCR4EJ+S9ojSYTuS5bGiO2To6U+ZMZH/vcRB7KHJyYk5xqjbTHpR+So0uJBaA91
98pL4C3utXbFjS+kLM8tST5z4Oi6QYkQD9GP9Dt168LJnO4N+JFNeNTvHN671Im+HxDz3DcHPXF+
/SLfspX8x+8W1vMAf06WogCIexKEbXJhfAR7CxtaFIFVFQQWDt2yA/nOMyd9K7fZTRG502H4NTQb
bSV4XDgNZ3Yl/8JbJCmtDnZZ8JCR54S7jLkUDj0Zd3+/Vc9MSZsGvNDMqkzMM8t+CeXD/CfqAWMZ
naa9VfmbmtyGwRpea8GXnZmUNlGmUFqwBKNDOqlXPyayre1jsVbrmX/l2tpJG6gb02YaGQZmq19j
911XvMB+4tFTFu8CbcWnLI6IgZ0U/NZzDlV6gJK2b6K+R6aRIlHQoSqHNsgwO+prHaCLJ/zEDj2/
d9K+0/RUwE443WuGF1Qv3VqsMv+EPG3Y8PAgc57ckAO2QrCo1AJIWaCHDoyuv/S1TPOyAUagzUzQ
ACU/K3WG7IA1QVIzVHXQwWjP0yq346IJsIzPlSk0dslNVgD+GT0GPXupr7J6MiENdf3ULK33TGP+
fwYk/x4JVRumIgcrd/5IUEzX0nsre4rWwrml5T41I22rOuEdbiqMI2r2U/FmcScJVs7/kqc5NSHt
qChsQkD/MBJWvinxJ5idmYIE3Jg62Ro76+KqgJmHMbRnaarcsstS2qsNQX3NiNHJX7lNvtbSumZB
GkyKYKUs56qywJWAPFBlrERhiwtyMoT5/5/EfbWokMOz0QagRK8xfdHHwU36lRVZtAEloVnRDEk/
uTQYBlPB0wEl+HK4VxSPlUc9/3V9+y6Er7PM9r8m5u19MoysDpuUVjBRjXeCOa3tUfRzVbdc2bUV
94A3XTkvS75YY+g4RO0C+iHyPYruBhVleWQdo3HDzcbTSjy5Rk8xj/DPfJU9c3FTn5iTxicMO4K6
PMyx+tiru9h6s3RvrHdgd7w+kctr9Wdc0uXZd4x38QRD7fDNTLYcdPZ0ZcstjgVFrFmXbK4US9cY
43YOkRkk5PXqpa9e42hPQ7TiPSfJSsS1YsiSInDe9m2eczh+Mu66/AVRa1a5HfqyzL9FeqF1R/sz
IhkxF2oMjYVoeHPN6F3JQPlZx7691ni+6KFtaCZAfx2qNfKOI1CySKCpjC0OEl9IZQECRVrIRK5E
iIse58SMtNNUkSRqFMKMRh4V5YOv4ViWXhKz2CyWmKFzBYH9+VEtEzMpgrlRgE85kN/RDUtST4+1
HfDsN6S/G4oCvSRawUHJ06wgRRdKIsgSGOhut+YYGKJT58aTQo8tJia4ojv1Jt8i5esRxUHhFrQo
DgjjEmdYMfm7/iCHH6cmZ09y4prgKVqwDcGkti328dNLsQeBhfpuu9yrfiF7sI3u1Ef1m+4qQHw4
ytf187y0a8DqptsGNNDwV5ptoee2PhU4bAO7L4GpNJJdr6Dna3/dzJLbQB/GHD8gMws08PkgI9Hp
U8NwAkp1qwX/dOP9CKzzdRsLLVYziOxfI4Z0noEea6HwDSNt5aKFxgP4P7A+qbW1DRc8g1PxlIBQ
IFs53EsH4tSqlPoJRx1F29lqU9zEwFlV9P36uBaXyMJBwNkGqkTOT9QacMNThQMhQPDRuhQInC1I
UDTucis1hWtAmSD3rttcui91dE6q6JyHbqEcuQz6BOJB4PPdQNBidKBcmIDmq1K4a8WCbY1eA2F/
U8W3igiQ2xtzdXv9AxY3zJ9BU2ktUUBuUjYPmpffc2vP2Wfbbq6bWPY0JzakleMAsPFqgg3V3IPL
xAEyD80nD5l4mJAibgKvVMDG5V+3unTpAAgP2TzcCXOJ/PwkZJnC9DaDUYpQKtN9jkMX2JmjZG9a
sRJYLe6cuUKIDD+y/GSe5BPXQnK97Wy7Rcmsjj0QK4AAU3AnyjTEiauMMIsrdmJs/pgTY1NZZMHA
IQ1DqoeReqJ/TdnKii3OnQ1uxpnyGaULyYsogINnRdZjwXgBRWzFsdh3PKzRgwd1s8hY8SeLZ+CP
NZn5hZtcoAcGAxpjkKyzz6n+CO3pMS/IDSkYYgWgBOhak+HlDYTre6bKhXYUetcMQxpjmQBcj6ik
dItxM9B7IJw70KuA48ftwJLQ3sKXtewXq2sHcqueaqy9KC6WcbYP2Qo2l3dVzZbsB0oB2SrRoS1O
O/TxT8ofo3DlzrlsEj2zcZGzHy0jMMwaNhqbPgLU5eQtdQfyMzGgYZVoOz0uvolw/ExaxdFadV+l
a8rTF+G59AXS0QexlDAzhi+YmyxttDY0zV0ViRtTDJ6B6HyMV/Xf55v07J6HSdUEUQOmdgHwwLMZ
KaDS0lUqNP5vFQDYP9ppJkohYy+eIqOrHjlRjHyjGRV4ZQLDCsOjGtJ0Z1Vlp2/ajJJDYrN+7dF9
cYPhy+aIC8mcubFVBn6YQ1cOpU4LkNQZW2Vimyr+66hxNmEChAWwxkL3Z2fm6WjhygdUNtxzjbla
16xcWRfObjYBSgAT2aI5/pUiGdKO3J5QgnarPN9pPHSU4VjHGnQZ/p7uANeiCqVYtKXh8XsxX2WS
pdAtBktqAsk5CFCV9sEoH8O1q2JpREjngOUAcRO6EaSrAphb2qAXA+uSkxuV/CSc75qBQOzOUFZu
pcUjiWgbART6m+c+i3PvrQEpTiMrnbth74L+dTAmh0Q7NUvdvLxXylezvWmNQ969RubKc2/pKJ5a
luLfrtDqOKqzEq+wW4vfqsVeUxXX0O+s6FWdVm7EyxgRu2Smb8DzQgf4URZjTmgU5iMpQQeOBgJa
ak9j92J3lR+G5aZKhCP0/paQ9MgUdmjU4PP65b80VvCJ2Bo0E9Gb/HsVTu5IEOcZLR+K0kXd+G00
Ikcr9Y2dMDeqyQc2640I6cqxWB4xw+nTTHSqQCz3fGWVYdSjIMSIh9R4GTRyUEbVG1SBUp4ZHk21
d8bUPpBKd43gK6f/AVwLt4e5RrcGypSWfKHoQaRancBpKZsjqxzR7FkPcC9A7EgkMdtn9tYONpkO
qQDoXgDLsrbkc6goO160gM9d4HgVa/Lru7bjoGkJHEOf7NUchGUGYKjKrwi+wVR22binwe3Qu3+/
0lBj0QFAQss1or3zWYdIPFgm5wsGgL/kmIo6h5ybqG6R23ie2vjOSgJQPttipT9myWXYQA5AMxn9
lxdCEqpeF1kMnieXcmQBWsiHmeN9PPQOUcOVCsBFMIboYCZhQeuBAZVZmQwlqGhNrBJQ2s74aTft
FvBFT5SNY4t6b6EIfn0+L4P12RwKUpDlg1HUu88nFHKjbZvO6ASEPs8DKOyYlrslSX2VcSDeHzqb
uF0bbEJ1TZlmYU7PLEtLqZRmwnsFlpvgoQ8SVxQ1ovVwA4jI2lnVLrcqTOHyomAPmIVozwepjGAq
s3P4BzHpBxonDm7+Y6SEnl7VfppTIBKiTcmeJjO6mXpz25A1srDFwc6t3TNQY4Zrn39BMYFqLiow
2En5JozbRgEmSTxB4OLvzwc6x01k+NCMA6k0aaQty4MGZxJhrtoeatb5cNVou1N/KoXYKfmwx2Ni
u7KFFncsWhfxpgUskMiZJVpZVsEU2EzjvVHuYuOghts621ECLZRdNHm59W4ox8LeaMmrgmev6HeG
dd+upbgWbgGQAoPUHg55hvtKIXar20OkjPiOBNJp6ZbqL5Zxy+rATaMbOzM214e9uKJ/rMlZkW4Y
eZxw+P+i7FxB3nkTecMAvM+ay1uaXo0hwPtNnIWU1vnWCYCk69t2AgUKAa2fEruJ3T4VanUT6enT
YNeP18e1FLLgKQjCC+TrgH6X/XpDBhJDoL5EL+AIadXKqZoNSIwcWt0WuQsNzSB+Coq3mMUuWjiu
G6cLB/XU9nyQTy7ytOtVUkO7DUjg0J2C5KhGa6yFCw8xVA8ALDdRQ6BoeT030TVVFbGAgYAZnegs
aV2DjIgC4/31kSyQX4CYAJfzzF0E+UO5Omm01OhAMwX3VtvlNg4jCiL+HJhPFtpeZwzZFmAwsMiZ
MI5mtmZEq2oUjggMQ+NVwWWz78p8XPGEC3tpZjLBP7Slw9tLbgjd1DQfLTyWyrRpTRePoODIohRM
nLaWIba3aj29MZQgWeNSmc+eFCyg4oAQDURexCRyTcCMU7MtkV6A8pav1Xe9yT1tMtGYWLkZ+543
oO9fW4AFp39mUlrouC3svhtg0mKDx6tXuyYuGXKfKukDwBEAPUD+FpHN4GQa2Wa27faBtlLWuUSJ
4Xo15r/qLHmL1vLz3ZaPCNKSFoep1mOny5AMg4Y2N746XdxQkrtBiguPfrdjE7mjektbCLWpxS7O
H2pm7lJDOAG4XRMzvgmYuY00xRmq1QTv0qkzoHZCdTzxkCKRdkXXtEk4/g9pX9ZbN68s+4sESKTG
Vw1r8DzFdvwiJHFMzfP860/JOOeLFs27iORu7A1sIIB7NUU2m93VVQ5OXTHYyOYu+vQ1CV10usKW
fUv06qjHr1oL6DuYnwmmJZOkASGzbORbdDBxHNdhWlRqDP7qwgHAiPyCxCemSufFujYdGiMvPNo2
kqeR2BLemTbwzngDcjtDAxw269eSQaKTg61Fh3bIAjOzJBej6IawMPq8At/BLcVHgEmlChh188qz
I1QGW0iIvsdludNlbG/CiA0AEYqfGCsHJQq3yYo5NpIuqSuvrMOQBFGs5jtDbTokbgowYvZsvWi9
ph1yTGJetVarXdlmo13qRQXVQZDvSW4Qgd946mqYJ0A/E/9Zg9AmiOMtNjTJAqKuLJ5f4ww9OaW5
7hT1aLeygTlh+oohNtz3qOmtFB+ntkqlAtYqRGOibdwhvgrL9175IF1g6a8G2aOciebw+cD+tbG0
lu82Jlf3N+7FSQ+24xQmIYPlNy8oiDz8BDcj3rZuf4lRUPfuIvoNfg/P8nNJOBGs7IlpbmXnqGpa
JxkqLym+1yrQ8xl0bW5H2kleBYJr4sTOmmltXAzzUC3bHnYUkoFCSPFSZ/KUqT1CPNylSiRZUlHi
tl1RLnEbKeYm4hErmnWvSzO5S/U4xg+q4pchkEOywTTMNeDnc5cRahRIcjBMD0Uz/hZckjyxCorU
DZU1qweD4DQ1+7ZGIy1AZDAvmo7UNGCO5ezmvGue1aohd4rhzPSis3KgvcdKm3ZmSjGY06P+xnb6
Ms/3ZC4BdaULpdkdgmy9B4Jatw5xmE4/Um0qgYGdGQ2ihSHaM5ull23tdKNPmkgHsYU5lFEwGUpz
kanokMTr6aQFCRUv71Xt3enU9kDaMZ19NXeU2B+ipLC8dgrtG0OpE8PVNLu6o0xXn2qiZa+Gmtsq
mLbsBY9HsF+rnh5rIXGjskuOfT5SPIdmJ/U1K2rwG+z+ZrBCakCBSmE/tCaufBTTm0daU0CT0QIc
gz7p1Df0OhHSdDU2oaaWg/xtZ0Q1uWBjOeVuV60dZhCQGxFo3ZX8WCG8QOBUy3QfKDr14NQEAOAu
68mC2fEJDZpkKmpEYHUeLsY0ciDvwBL7vdQwjDL3lvORsko75tSJQb6mzr6TgWX7Anol4Obo5gHr
VmKRXdYmYIOrrb4HMUJnhl6v6vnvupr7axM8la2npUnY7+Kwj0C/3STGR+6E3Q8t7mbbg2ZG8wtI
yeKxjMsldI0afL+drTgfmYHlfbBKi9002oTxUTZnJXVHEMfo3VIHQ4OBVtxpuDpHzL4PRUgmL6q6
Y971ycUyjsUR9VNyVLvJ/lFPFThZSBHl5a5pscOUZqLFhWHMNL8ujNIOCDQqmd9kfXFJyyG8Vkml
NIe50CwGVWFVAek69i40okn5Spo5BNGYA/yu18xLDQE+y3DK+2pKokuzmanuoQtXL24x1TU6+0PZ
Qhwvjdguicb2RjEW7VFvphgci/WwgI2clkS7q4yhqIJ+1HqGHmRDr6aRtAHF2+rn4Myg0DHNwkAv
lpi55OUqvMVQKwdv7hrNv/CUNE2H3ZNXuJXVlZlpH9XXZPyexjcUDaHkQMuPZvFnemWCse58SBeZ
xmMZpUPbwTUK/qrTeFcOnVO3KRKgLjau2mG4Mdh7CtZLI632BOYgQLcryXhZY7a3BdCk02VTNIIQ
CGIdTBsA+gmGIL49VSjqkkdIkb1e0Vzi7Y2rftRxKlUviovdeXcF0Z0CLWkixSLguOYrl5qSGa3W
Kahc9q5p3lS56cXtYQ6fQipTxRW5hZrZyhC7Nmf5YlY1jwibNdj+w1ZHlbTWywtNnfrMBdYJDPiI
Ir2/MC2FtlVvjqPkuwquy5NEhLvGMgUgV8VEIlJP9cGuDQiB4xNjJJfRu/NLKvAThN26gwo/BrMh
n3K6geg0O409g8EqGYogBA+TT5TyUZnGILHywMZs2zTJhhwFWfuJTS4PsUDYGA0JbGb96BYNRcL+
eN4rQZ4MyjJk5HgWoK3OI8bCyon1dm7R+jHA31MArT41kEeQ8KMJ1+6PFf5pWERJPyxjD+r+3sGl
qjzHKQRPCtNTrGxnMX0/MGX/145hYBy4RRw2cPfzn6ujcxtDhw/XGPgcWrVHohEes1j7+3QNfFLg
K4VCNao3fNmxQwfCriKIbyRaFzTGAYRjyKieMKx23h3RKxNzang24YghceOjxwxeYlqxuIIs0ji+
1lNqoQY/Qy7O64YMygsYocKviJJ0Xlxz1EPTnZGEvIVDP9TQfWTpVcE06zJqB+cQMTMKwrBil1E8
KoGmZwNqla2Zhn7ajeXdlJl27ZJmwFDKeTdENYLNduMLT2UHruUlBVsA4HxmdmeHH2Q6xhB7ze6i
/NEcfp83J4wOm323ZombJDfpYoIRL5iLwmt7OgCwvDTPumz4VHhKN1boqZXYQImbrru7sVBOGxNU
edJINocsegZhn6G2QgDhQABaf8XGF2eIC0PtG+hNmiivRgvAKCCeWd4iWrha9Dbmq1hrrmuSxF0Q
IE7McmEvbYucNAnM9sYYVDlgzPM+6yVGRCuoQmADAt4qCL74J16X0XYeVLxuBzT2GI1uUyabEZKZ
4EKpVja4KxlM5HmKsxFG96STScoJ1gqBRkMXHWRNa8vu9BM1UJ0ZshZodVutHopW+cHCbJeHleTx
LTpEWzPcru7jrDE7G2ZWxGp2W3Y5MohrsEJlTkCHl9yUhFJBMgG34BJIUleKHG4L5DXaLbmBMl43
Qyeq7G6TVcFo0i8ggQr2PJlMmdCcjb8JftEVjsCZSxazNnsNL9MQ7SltyQKjNn1SgXSJRteVbOZY
dDUBtPOfNW5f1MM0KckMa41yu4ytS8h7m153xi5CSxsiUOcDkujTaSYwQoAkONYXRik9jckSjQus
mb91K3Cs/TR+ZMmTM4Z+3b9PgNafNyhaTAMtKRTDMVONmv7pltTphEYjS2uww0yBUYbgScj0ye3T
xJsja/Z6s/953qLoEACr4wAIBIQH5cmh8mgqndKq0LQumatN5i1jxh7KV9E/eIaHz8rRh9TF5NmY
7Xm2Ypy1AuQkwbBcQqIWbKNB1ODZI0OWiRZxU9nmkyQaovS7ZEgyrea1VFW3jL/NJiZGwsMsa3B9
LT0B8I724f8B9Xh1sqawaz1bANRbbtXIYw8F6nfIym6cYLmJvfjInpw9dLghhuDjDr8pj7JxpS+B
kvsBXHTJWK0QpuEH5OB/W2cvBtn4roAK5dRH7sK0FDVXpgTwwGmn7YzH6CmK/MHXL1BOuawTd4k8
68Jj34HrcEE9vTu/P798zE//EOzxLFrbQ9yJyHMQ1yOrBoo0+aCL4i6ji4qIU3wzZJywMkvcSoL/
YoraFdbZq+A+htyZ49H4fhhAkPL9X3zCkVsBBeuo3Okp70BSRztzAh4PFERWd9PU3mA/gaVywKk4
b+rL8cbyfXJUWhTFNYiLn5oyoW4W03zdn8YQpFCBrXuMtJHn81a+Ptc5M1xYjiMlKUkDM8ohvC5/
oJc+Peho5F+NvgGxNxeIl/MW1z94UjD8NAheQbybP6liT/0q0VGHaNOMgTPrR0I/JnT16vC2NSUo
E9GeWBP4T7ZoAOG43de3/ciaCF+KKVc9O6rkJhsvSXnfm5In12eH44tDG0vc7lNzo+yjbt0TWrVf
Gucy6cCWRQuKPmDV+9oAIfqy3hOUB6e2fa+M139YUHiogiIaoDieb6Zv7GXpnHVBGyiKKLrP6qAD
4Jh9nLcj3JAbO+sFv8mLbUXJQAGkYkXty8S41JOdIsNHflJefl3LP75w5yvXZqQGSEU89d68147R
4JL79jdGEruD+dhZvvItZO7ixT5G8ILz7n3JGNZ9+cc9yqH508msUDvHMk7DCyoQbj0dkglNe/ox
g66DzDcqPZy3KDwJ4HUHNgDigxq/RS17JqMWYkFzUH9Ah9fUPqLZZ0RWOBIeBXAP2KC6Q9eUBz3k
c9yTBE1yL4WIV/Kjip+UMWirW0M23C10aJ0kXAtiqLxxZy7rWQvpC4KTkClHs/mwneGXkwHa0NSS
0y2zxJ25JgvjOWxgaST3jo024AttLQ80lpJNIbxB9Y1L3A2KcUVg2EINLtX29TKULjUbbyiSb+j+
PzRpfxWrkDGKnkgFta3oDjUFV4mXYLS/66htzoBELWbsWXVy1Ifo+A/7Z/Pb1gRjcyD7DPm6XuO3
abXfOkGlX6sR5q8ezlv5krev58IEbgJzE+gm82PbrHZGog2gcbOnt6z/GAYPguVqfTFX3vh+3pSQ
2WFri/usUY57EANgmFMKilfMmt2CVRGKJz7rfKRjEDfxgG0rf8r0P0SZmL5iXUEaB+i7xX1kfU60
0U7XAzLdltpt28nGNITbdWOA+1IpVao5rWGgNjM/oVdz52c13Q0ylLwwRG/srP++2REWKYfc7GHH
iN/ifHENTOWlP89/JGE02dhYfd3YUHQFfZvVxtznbpK+ThXzUuiyJ/2DLWP0Ea4bOM/1TxQaiLFO
bY1swLDcDFsNJKphCnMIKoYwJKVF4Q7fWOEutqhpRzAiIPJHOLJmEnTAa5RBr6JqttPtp/PLJ7xm
Nsa4Gw4qtiPVVg2NWL0OQd/ZgkF052hPEUPb/VDH38+bk6wgj6wr8AQgxvyZHLz25X7CqCZ9Yqp/
3or43kZavIqCAEnMP9z0aqZLRNd7O7+0dsOrGjBXTSCv6853hdveGXvzsfd/QJtXkk0Kd/wfw3zB
W6vKtC9KGG4Ve79oqV+b3XXYWZJQK4wQGzPczWbEoMcIE5iJoFQXR5DFfZGs4BcE+BpmNxa40FdT
mqd6DwsL+dCBEKybw+g86/oDqV8iUPop2oVdym434VneGOUC3xQNqqmnMGpUuM0wroxs3E/jyMXj
x6fWew+1rqh46E28QJzvUxx5Sv9SqsXTAF2POgGYSh+/nV8I4Ybd/CQuVCpQozYwfJR5aMdgdu6x
qsCr+9DIuhaiDwrWdRA0ArK0yj6dRpa86vKhxHyV1xE/nqF8uCySnSl8WW1MfDl6RszsEtOAHrtJ
gwkinG64i78t+36XvqNSjsLQ+ZWTGuQ2qVkyABNWbsbkqv8ojuHFgFkNF22m5UN1CbA1u/MGRZ9q
6yC3ZR2Wmk0e21jD4WVS/cm616xX468bjzgYWyvcHg0TbAdaw6s5+z1Bn4qlbje9dc7HeWdEgQSk
NCvK1IAEBh/BzLFsE9BbIRnH/DAeHIa+W/5eeG/15Y8RPlrZpFIjoEOQB6D5nbNHp/ad5N5u3Da5
bMvEryCudt4t0d22tcjtCZUwB/IhsGjWO515PcEZJ+5cXI3vaSHjkpGsocVtCNvpB+CrYUwpn9Le
n4ZvVHKdiUgMUWJFbx8fCWMyPNyo6xS9mXvgYoymfbIgUXCYZrKz6uXVKbXUTUd73E9tM/sxG8iF
bWavY1ljCj0JnPiXgXkqIx93dFo6SQ4hiqTgz0Cdy1QRxvl+m0N6PVJLlKDsQcHIbQyBphATGD8S
0+1k4taiZd7a4pa5YaWq5IBZelU9uiBK85bmly4j5BMd7q0R7tghJWL23MNIAaHYkWl+mQ03uZK6
yz9xT30q667aJYD2rv5uMkqkfXbUsglXn+YbU+pGxY/zh0D4cVbp3v81sPq6MaAmgIlbOQwwDcSX
YL2mfeyGw3OpB1ohQ5CKbhbohVm2bQGjASDKqbHe1mc1nvSVKeitGn/V4+68M6Kvv/37nDN11OsW
CylepCjfMtr6kfXUTTIEkWjJtlbWf98sWYERzDAHSb5XJsfB2IdqoGsD4OV44T7+gz9QVALaCbcx
2CNOLWVjXtr2StcN0L5XtzuKASliSeKG8KP8MfLZ8926Y4QDaVUYCUGrblt7gD0kgVZ0XizQm1KC
rQxqFs6NogGd7JTgmqL1YYFYdAGs2EPyLzRtGytf5XwNdAwI/CBsl2sfE5TWzn+Nr6MWuKKAbYOO
Bd78IJbm/Oh7A/FlhgUT/BKFfkRtwewxnreHCqcdHqvmBSc07faASIAm0Dfwyjz/C8QL+d8PMLk6
HJTTkwaYtrWcGnmN7Ybmt7J9nWQjDcJj9MdPfsiWqbFWai381DRMLuBuyB4dWeoiPETonGHGEnhK
TDuebu1wpi0ZEhRoCvJsNI9GfFSLY9kGiax2KbrlAVT4zxAfE0g5syRCOQxVRDJej+O3WTno3WuT
H3QZYQdZrxe+Rrs1xoUGvXT6BtBTpH29u+ysR8eN3Tlx0ae7u3JfXhbPDa6CwHQPVNbnEZ7ijZvc
Q30skyKbLVhOgHVdMABYxZJrXEhwunWO2/5JPiYOm2CC3va53z4onnKjePWeXVtB7dfHygvcKWCP
o19806+YL3vPCl/Smx/Ab//CbsxoUbBn7Dftkd2Uz5Bj7Nzk8bfy1t5p9xe9j3mRa9kEtGQD8aeh
JBPAaTaskjyCIjSIS67s/qrufD19y8y/BfghxNir8BpGCzFlwM9vLszRs34NxlNa7mJCvN4yjv3S
HFrNgdbU5HZNJWGwEoY1m4K6DyrKGhAjXDpDuzCOwwypaRl7IVVdEKNQTBF1ym1YHw3bjcPfyJXd
pL5JyZWV+p10slP0wN/+gnVzb64gxW4GLR7wC1h5QyYgNUHisauy64hdN9hfyUOIB+/5UPoVyrSu
tA49OPQ1yIqDOLUJxr2ui3sHjxpQnI86Os13cXWnNJeRCfFvEzI7ZepCTkZidv2zfIQAeQFuD6hv
AMjCRYjMtou8MGHWAVHLe5UuLVopznjZT0CxF+1KnAuu0X0NKQtotScUDxIy4pFqLyp+Gbibhn78
F1LAtRmIeT3IMgCYfLoUfQJZ8IYwTIk1Dy19yYDxjDERcd5z0d21NbKGzs03JsUyd3kY5Z6uBHZ0
Ydq3SJdAwHHeiigMbq1wXzWbF2tQVLiCd4Zr1QCryvhHZX5wezVUtVwtNFgw0vsxR9UQNqA2HskA
CqIL0oG2LsDT68Hkk43UVsu6apLcU1jznFjOXaMpN9ScLm2z37ekO5xfONGdD51tVPihkAg9CS64
1yi7Fs6yaqeopVt0r7X9UQEGcd6I8Ov8McKnmhNaiProQGLEbnuv0TEpIks1BRJN61wfkOCA26Lp
yz82SzaGrAjhRxS7de7mH8ptfDldVrviEo+b+MoKRlwVS2DeRBfG8bx7wnY3ZtGA7gciCNA7bhE1
FErsusXeKCNvcFxcUFfpdT0+psfUT/bAKJy3J9wif84tX6gzUkhdsi7OUf6Bag/71UPzMHXei+pO
qh8g3B5/TPEFO02f7TGO4dnEMj9Olqt4inwyjZLepXCD/Nn0/A2f5nFiLCE8Gox+P2nT/YLr7/yi
CT3BFB/YnFYEPa9DZGqhMbAcJtrqF4XCUhoFI/t+3oYIQAX4JSDS6F1DZ9fionxuZg2gpJAXHb1l
51zpHrtgv5tD9MLuq58oPNIHUKmQdwgIrj17wNSKY/py/jcI/Dz5CVxC2JstM2qlyj21nUMdYFNV
vYPQcmL5egGSkeC8NVGB1dYMgJnwOiErOvg0vKs0C+mgw2Mdg0OJgsvLuAoB3uotAHS8akldu18J
ie5o0+0w3yU5CoIk7cQ8d7uoA0lSM23wVfWdgtYURHkHzHDVHlVvVUWSCYtyhxNr3C3TQo4hTWNY
o/ShQ7lhAeweHOpW9NxTXOwowF2F3T9cbSdGuYvHmB1dx8AgcLbVbcVGJPmy56Xo+XJiYt1Tmzua
UbvMlQx+Kcp9aOxaO6AR83X12ghf03VUUHGbd5orGO3C9O8LJipWvl1UdTwL1KPx5Wj+Utn3uX6y
Bxlpl3jNTYMgqq57jKd2hZJIXscTfltfPefQex1+GMturOx93jzpi4/NB+ZpqbiI4BTZmCxGJ2Rt
rn9hJaOxUWaRjUWfL9Tf+vcarNOH2je89Ak8fpfasQ5GFcSyksMkCOx4xquoNgCei3DIfYcoUbpC
ITi7024OyI/wjQQLtIAwz8d+FzfmLr91sLOPyb3s+hS6a4C8F0xsKPbzt6c662GtQW3ECyc3oc8m
iCO63XnnhL7haQNebZQ0LV76LlNUOmEaFieV0L01/cLk78xabyr2U7I/b0qQqq38LP+Z4k5MDaZM
2yxhKtL8TAGd8sEp9rMlcUhwZ51Y4T4WJOfWqT5YsdP9RG5bW8abIPwoGzdWNzenckyMklQxDCTE
M9m3eNhFsqEBUeayssehHbLifr+IKERRozTxAOJ+K1YDKFG4thbk6U8M48TaFYXARroDMRVEdWS0
16JzfWKZu6cUmkFFmK6SAfV9j7Z4DijLTxQHF/QpKr9Bk05W3hKaxAQBAZvaChLn32Cak4QZHdAo
QZUma59KiE2BqTIFe9zcuwkoxpQZ7wf//GYUfMV1bOE/o7yfqp3M6cqIWyx3pXmnah/m9Ou8CcEl
eGKCSz+bkC20nmCC2Z46u43lmkcGuoDZlty2n7hJ7hW7tcQ369qhM8CgA0u0Gp+Mvr5IwpUPLgHH
8IyFpH5HP5rs1dQe8Zqozat8ikD0BdyN7app4tpGdIwHE1Pvjc/MbyRUQVf6K4ZEFECU7mAUd9No
3CZQeDu/QIKAcPKz+SQlHiLNaPGzB9QzSLkbtWcHeMkiOG9G+B2gSAtMoQMSGr62yfQorDDPiLK9
uejPsePkbwzbEOLHOo3wDDEQ2bvCBMmaikn0v39kGdASwxnW1lEmBD8uXGR1DkG1GIit7LFUL4tM
4t3XjYy/b+FyggkDnKPrv2/CUT6AXjRM8PdbNGoxdIs56nTnqK/n11CALoQZAHdRKUGfDrZOzayA
D6M0oByTxQ+gGBnTnUr3E/NNxsDtfGssfj24lnPVefWTobud5xHXqHaLLDSK3DUxZ460Y1UB4JGo
XVRpyUzgbl3+LlPzqpuV/dwTGVL667UIviL8B5O9JhpjfJWxywqtzroaRbjZNZ7U/eCrz/lFeGVd
G43XudZ1/l54+WV2IdOg+2TdOT3LsAweFRUsFBiv4jHSi6r2SqUiAI+muUSuguf1hwa44SXG/1fO
4qwDlr9bGYzjkrb35ZRBMmjJtYb6WhyXdyB+QI7NsjaGDJPTmj4Fv1Ewts0AhLzZ54ULdg+GYfY6
jZ5Cq2+fxqXEt6Nqah9ImMju43VjfPEHWG9QiqGeibGc041T93lm6kmDTrvOUJuprD7InEzzLMW2
3ZrkV3OTIUXPoEyDPEsGZ/w6I4vEDSNBeAuh4fV1DEILM+DMGxz+5Ejewh/Ura4U1KgdTz+Ckfx1
QIn6gAn0wr3Ib/UbMLhI0pGvMe7E/ufltzmeigaqNtWB/TL7YOZlGO+H8MXIJamV8FT88fIzn9hY
AWHBkBirJIbdPqTg9migyal9Ox8CREcCc7pA2ILcZ2VcP/2QfQum/IoO6xBQdUd64zpy6N4MF1zR
pWsroeSC/prHAS+MAWowZ4No9AtnGYgyFKb1cAnjTxASJy6JJL12oQXUm5Flmeu1wEfOsCSERGsK
YJk7R8e0XSMRMxAu2cYClyrONRAmYNtG+6C8H0JwTD6qyaWTgphFNrP/9Y7DajmrDiuqXWB84cJz
Hw4NpLBGbPPlBuMAan0Io6AYXQNkuFKk+fqe5o/0xtgXKndkNk2xjoM1tZ+T63He53VggzuUHUx9
N1G/bG/zGNP1BxskHud3oUBo98RTfhguVPJ1phHG65v2Xp1c5ZvjzcG4f8+uDf8a3G6Rb+1ftIPL
jpWrYaAFjE1u4YHhLMiBzJX8HNHB2y4FOT0UGFsG4mtdd7W+atDRdA4skkQQUQDdmuCqG1XkhKG2
Tv/1md9PRwLI4+KPHTqLO8X2WinBr/BYgJGFol6FzcSXjqYiTfUCKFKPVbu2u1OXV5Ic7PZ2xghe
99umx0x/qxTwHBepV6o/WuOvi4449CiwGxYQ7ngQcMcyrE2W9BT+5hBGhRKIOxBJtBR5CHQ+AMBg
jsYkEmdBXaoqJeYKkaXQhsmvQXwp2RaC+hucQBsLfGgQV6D8eWxqRa3DFAMzUBwIzct8ftCcg5Je
sy4oTZ85qVu3ALrhv5L2oSgQbAzzZzO1BtYNAwxjWM1R9hr9mXQ32vytrS60v8fwnzjJH8VkRiiq
Vicr0H23849qIRdKFPvnT7zMI/6I1UVmzuswV0Spay63WXGJl0ho/lS7A4DOEmuiA71dP+609YDt
tam6+gTslfXWdhfJ+P28Q6JbAcIz6qpjh2F2/kVQVUbT1B10ROxQB2SliX/HAxgex3KZg2hiSwCB
WRnLomgR1zIdGqxAvYMA8TROTUpEY2cF4uXpY9eBlt5T1G+l5s4O6LeezvsnWEIQ+YMVHuTwYHbk
Kcr1ftBKxYStzkHhl+jmU9WZyy6z4llyzAShcSU/QYcRD7uViOfUK6aGePhCD9KLi9jV5viGlXcY
ZrpRtOqiojeRSne2gfT4vH9fvh/K6mjM2cgnMYYDdtNTqyUNCUDlBc4v8F9l/73+ZJOJj0XPLlD3
Pp639uXLcdbWf9+kdkiPErOvYW2oj4r2LWkujDG6X5oRtAuJS+1YEhxl3nFrWuTLkMQN7GXttMst
eleZLRSLsiDukpupBPfgef++JMin/vE4MbsjmWXFoGobtA51zqem/ait90k2G/a1pMbZ4YoNnR3G
SVXATueQtzZNIrdJCuUSSuNXJM+hsjxNJoirJygnQPIi6MjwoXRVKgkvMm+5YNbG9qxpq7eNsiO2
XwES22OUZ5KSnws/IyQRsD9RDgW58um2gWZCTpwZnzGqrvN6N6X3CNWu2bxEsg68cINuLOmnlkbF
coplgiWHPKORBIrEAmgrsLr3qe2yUXbmhSsIwlOUw8EDgnLEqTldGbMuBqud19WwFGt+jgPeLeTa
xNT0P2zNjan1p2yOXtKklVpRmKos7dEGK11ioBI5msfGkAlcfomZ6+7cmOJiSpsoRUE6LKLOnHvQ
ygL73v/U7VbikfgUbOxw0STR0Y0fo6rFAGpAF78AjxiJKr/A3qizJ8xi55DrwkS2LFWQfTUuqqRW
NPVlg6WsKYpDxCndrOmBgS/9sTBkIeXrcObnaoKZRoMsybqwpx+uzstqpYpsIcEz/c4qzQNg6tae
2LHL49ewyFFtbPuPBKQgqVNcRbYKvEjrJ3Xoo1X8omNu9vxGWu2dPJhOfw/fRx8Uq6jG/nPVQcyk
Np6tD24WmWBf2SmmD46eqh3/IdLg9kXvAHUXXPvcjlLKzKBT0eBLqyUEKwor0MvZX6rGx5Uieed+
LeHDwa0xbltlg1LaIN1uMZJySYdLMDnq8dWY+6X1DaSnmfMSoXlwfk2/ViQ5m9xHzuulw8ggbOra
RRHf5h0WsvK75DFFmtj7ennN1EOaBC3I67rr2T5o40XUPVgx8qvLmMkQn6ITvFkCXmJPUSAMQzP8
nNZgb2Pavpsk3VdT+Levo0+vgUQEdHuVwObCn4ZUm8YlzCQWIBlm8R31vvvzKyu6OlAP+c8EF/Yc
Rs0Q0zdY2KR1W/2yxeW/KHda+hyqkhKMzBS3SU2nW7VccTAaCAZG+X2r1LvKAhV9gYetZOXEH+iP
W9we7doozDPggTwEIjDC+0wBmE+XyLiIjaxk5ig3ouTPOZROjh23Ck5d2gLLkkSg9Q8vK1pIPpHo
zgWT4X9mOF+aOCvDemlbbymup+bJVNrXtrgps25noiQSgTBckqUJL46tRe60LRA0U5MOFvsCVLfl
wfkN5+jNXLkXseItYI0a/p6wFEFlFVH7JG0GZelpFO+Qh3b9hLVUWXeVAK6lWGOQdTcYQe6ohBv+
K+p2PVcbY1wWU2WsYEYM/+KKBhMIe6McYOqq8cJqNzDN1QaMlTyXzj2mXSEE3GtuJuOkEK/x5jdw
Z5sVS4ZqMRw2TdcJ3yb9AWSLeQfpAtxgEOAYG9fWb1vr+/nzLrXLHXgIuUQWGgQ4hcAFofOgDvcl
WEXIrgKDsJLlbmWC8kn3NWQG500Lj8vGY+64FPmgJMUMyxW6AupwsZjTfpC9aNZPx9++aBUhWCJx
Qo2Uy/yVEeoCCutbjyyqD8YEvJq6/vW8I5/59DkjXGI/Ok1nOVMHxmnnFoxqHXlxnH2jXOX6DVga
vfrFIfu2u7HLX50jWURhMNj4x50TpU51ZXBgmmYdKBlVdwFtSoSRBtAIm86hUixZV0WUz0CEzICk
OJqq4Do9PZlGVSQqW2BRqZ7m4bpzXCvehdXoZrR2++4gH//+Aklfj+cfi/ztOtgka+cCFgdr35HA
LO/mdMFgXOkX0cpghLnUCr0x2bSKcH9SaDcBugngET9qi/GetDAmtPxK5aqd7tPwumDH8ztHuDv/
mOB796wv6nIdZfJqSCRBqcEfMxnhn8QLHkaUa+GoZKsXBtr5TVr6bL6Mot/n/RDngDoki1apK+iw
cdtQZVoWKzasZGn0Hf9/rzX2obGqIAkX8JzT/WjeF+gvIfGVcSILT8DGNBe8lybPFwAYYFp7rqbI
dbLBHeP+2Iff6fjW1jLdQ+H+39hbF3zzMKwBW0jGYV1QZ9nTZdqD3T6oSuLmznDLanOvrtwLmYx3
VeYmF6fzaZioupoljvKshD+HrI7AgDnvSvqmDXkwkkr2XhRuHTTaP+faAdHlPmof6bnTLVjZmMw7
QiZoSFbXMdjDbHu5SbRvsTYfJmjzudYcV8izAaZ1lBc1dVy7DfelKRspFZ6WlXBbAzIKrO1c5NGB
We8Tw268pZ72GekfpohKDqQwJ/3PhKlyU31DhQfpEsEE7d3RuMHjJUn3to5RbElCKnoTI7n5X1/w
djjdRUpvWLkzWUgxIFwQA+LXo3uFEZRDIW3ZiT/jH1Pc7YSp+jJW1884dIfBvLfHl06TXQr/jwDw
xwi3VwqzW9S5gz9WzlDNg14CQLhpdhGHaFYVAYbLCcPzt5WNskgNc8cf8wV9BVlMeKd24LAGHIKC
YuowYHoHsiKzeaD1TW1JUnDZknIxAGKUqZ0oMFoQ3wJwPWR7qx0kabfQCCazwSeO/wGiebpFaJHl
k71+twLgjCmu9vpsBqDs8c7HbuGW35jhAktNzNlOTJhBmd3tq58NZq1YCdRasgvDSWJMuO03xric
T3M6q2xmGKvnwp2zm2rQvZn9aEtZK0dmaA2nmyhtMq3BGwmG4uIuGfcanLJsyI9LOm6yb8SFJKPC
BZAm2AiqhfoHyx8jdd7ldft4/huJzQBojdFZjIXx5GZ1VUZ5uyAsaRgGHOmMOvbjBLad/z8rXKAo
0qphaH003tQZB82JniB3uE8KR/JMFt5kGEH/P2e4UNHHVsZ620GMxbt/ifZ6WARGfOjwnKyZv8he
r7K14wIExCBHvS9hDgONEfEqMrhJLIMCyHziziqKNZHzP6Rd2XLkOJL8IpqRIMHjlUcyT6VuqeqF
VpK6eN83v36d2p2pTCSNsOqdsZ5+GDN5gggEAnG4qwM+XYquNbsiRhBB7yL9FSb65DTos6wxAdXL
jpxM7fP6ri2eX1VGWw4688BPwKyvKuukUQ0P0PSA6HiQKltubDmwROnfpDLBfvBfKGaVdYKhk6wA
lCS3R9kfIab2OKQov4mt/9FVyU5GAbMvIDi0vsTFLbzAZVyUIsZDF8UCYh9YRwuWIrRe+0PPSWQu
7uEFCuOb5Bik2/K8Ol2xm+SxADuKhEI6qL+LynC4rR2LHuoCjvFQU9u1hpRiUYnvdEgEd4Ur1z8V
teV8PB4O46KkpO/0UsSySNmYwxw1liGSz/FTm0e8iHGOWm4ewv9dk8SGT5CETb1QB5YRvIT9LgAP
ZQyxhdaaes9M4qfJ+D2Iz7nCm5i8HUefn4gXwEw4NQhqok4pgMNaR9P679oz/I0+QHYKrqyMBTct
nrpuNI1Ot3sEq0UH9g6oehEZnNad9gii9fsxFXmVnXWTQmH8+hbKGk1B3R173EQvTXeg+kOTB/so
eVXVn3HFU8abd/L262NeHbpGmB9lB9ZlaSyKKoETqhLRhDJIlw9mKNdmJu2G7NeYoEU4+Df3+fdI
DlQOMMPHeIQh9ggJKzhXPNAxc+XUzY9a/qfksSQvZ1gucBgPILRjFNUelqaB2yDbpSGI9D6Tapt2
D6PkSmQ3FF9V+1ImDxibsde9z3KKDG8BEYVTJD3Yng2lFYKm72FcVePQ6jC1Dgi2TTm/K/K90diR
ZrZlZfogHFkHnj337X7+F/d7svEihsn8qRy7GIueJGIm6Oj3Bt6BXUyt/FkaO4E5dkKTJBIg9AzN
91hFoW1VRLKYhowhmjS2G3XcJP5f98V/H9c/K2POhZZl6HLuYDZU0LB17etUJe76x1u+M/5AMFEG
VcO2FiECYBn5qYKkaJg/a7j+10GWT9wfEObuBcOwLoxgYbZQ4zMVYVfPPAVENmtsmDo8NvF+Erbr
kDyjYE5c0otp1hJAZh56mLVk7+XZz3WI5Rvjz6qYw6bKHpoydAS1JVqJs+qUebnbqqcQbFT/BuhP
PMHsEcSsek+R4R4VDZPgaeRbJNOdbsjMXFfe1rEWXfGFB2Fud0UvSaPOJgfio0RFD1n8WqMC3eqb
1sc4Gm9CdPEbXsAxt7ta1BIUoADnQ5IwvFMKq9TPGeW4pkVjuEBh7nYIg6oY2QJKF087StsvqSWc
aH19ISg7Xl9hiRgZRRYCIiwrO0B0IshmJdwn5WZ9fxbPqz6XYSRRUQxWJgQc3KSJUkwfkiE/CYp8
UlPxVa20x3WYZWd+gcMYN2ZI4taT4Rfk/g2lLEl2onAjS2ZDfUesIBe3BSNeAGZTDu5syzfO/AKX
sT8yCnXdTvMlgpaqqiv33iSbeDzaXjaYWVw5gfGrzoLPAjIzRamZWVsfNQ2kduu/Y3E7L34GY5ey
N2Vy38wRSdLuC6U41GjqSofBJAJvhHle0dqKGeNMDVr0eH1VVpt+URhOFeFxh7bi/g20rRyvyFnW
DSt+HXsZGnFx3KqNH4QWsIzREhWOZ1x0IvPdBc4xkOTozCYqyqBGWg8jLUdXqf9Bp06BIclQtGnz
Uok153Qv3i4XaMxeGa0WN9qAvRL7n6R6UbsDMV57L8DMwiErNmPTcs4gD5DZsbj2BAUqPVheFpm+
amXCScLwRZXfpbJDVUfmpYMW/defFbINyzQIIFNEAhx6HbQIyDRMUfO8bvDLrSIXGMzTwKvR7pMN
WJSYiA9G2BuznGeH4VbS2VIy3JV9dBab+rOS+8nSlOml9qadoHvIH4bnsJrZ3aokcvJE9iCWDnqZ
fszBKG5ApJfzS8nCgZnVJOfGPToLlTOu1hMaMYWIkZXIKOvXvot5LwxH5cWWRJjKLON90DWuUsRg
1ISnivrd0Bi8JNAt8QC+1SzJR0Gejv7a71D8Iur0CygNt/OejBYoZjEGamnv+BcaxbQ7WpuN80P8
aCzxUThmbvMC1pjkQTiO7vq3WLoNLn/EbDgXP6KRweRRCPgUJagwh17a5IqlyhrHGS6hgHjqP8fZ
mDfkAsXDmCGEjGEakTjtBdSNkkK580soe//9ai5xmDgHYqlREWk4yMjibmUvd0oNswcKLwm/7J3A
cKSJqM6qLG8QRu1ytLVhOZr60qmTWad222Awc3TA3iKqvFn45asUQ9tQyAEfKrrarz+f32uDFyuw
lCS2Em008/aYogYMmYkhOPUZ5BUjU2hAYUQ5J2XRbVwAM9bhh4aQ5GjYsEatdKG46vY82a3F++QC
gT2KQUoRSuFTDjpC4GlTqJDC1LY5ZKfXTWPxkgRXIKZtIKeHBN71NwStmDHkPUwjCx5p6YRouBAR
lSoO5qM5UIvWfgHFfDVvIJ2YZTNU+aBIvanWIsidI84dwkNhvhzUwaFeM+fqhPBooDEgRLcnl7x2
8aJCczM4jDUZzf8MCMSshVKusT0SyJT98DhCbkMElU99NhInihOzlDk3/y2j8+wW54keZFg1Ch2l
640qki5OYw2QTWbGJ/o43qvP9R259zaiPQuTYca/2/m/EdStG8jSob7AZSMbUsVZJH2/kaadrjkU
jbPRPfEPrWSPEaesdTswe71Its4ABd64QyCMu9I1TN/RfNOH/4eA7H26TyHGZkzmm2gmL+UG4uSN
CeVUgfPcWDoPl8sl158ZRWQ5VBWYzzRs2ugwjsgtP+uVrUq/1r/rYuHwEok5eTQ1MtL7QCLRAS65
HVtbFg+UorNE3lbqpoRGdsmb57vlRGO+MHMIdb3zSSfgC9dmfpoQ5mMq1Bx8SPCYwVvz4j0eGtnE
TIv9y3N8XnVb5hkTc27IFIdiF8FjgyRv4z2r99FbbWtO6KAK5/rY0IfI1m2Iy+/oY2kLPxuwVrj1
ewHrLqx6i7DJAJVotNvKP6qN+CAcQt47acm1z4QGEHAkEFRhB40x7TXF0LvHHTbceeEA2gbetbXk
oC6jLGbfqyxtEnHE5ZF5JgW7ipC6HndQYTFheYnC7HOV0FCZ5isqhUOHPp2WnMA0oQRfcoteikSA
lopTii+T6PbGho6is27dvEXO99tFZKOgqovGRcBL+UMvYNQQ7YNpxiuyLkYAl6tk30NNKkAPBPaE
9EOlb+r6OPWvqgBx+eS9jl7EfEvLXTk9ri9u6XK+RGXeRUIxoN87xeKUUtjHk3bok9+gon2rR+Fr
HYn3GRmnX3VinmVgfbe08Z5KL2P31Hi//18Q7BMoapM203wshsSTRUIC2tdpMyWZvQ7D2yp2XnPS
jYC2/fzRwMqG7AMCjVbfVeTcUaeXviLpkEu2qKa7dVzOF2RDbD8YOkkMAOvT9wop7E56oORtHWPZ
q/333cTGoVQHN0FaYJfCHs2kHei4euFd1/tDRclHpD/VerhdR1z2Un8QmdM9GnGVKB4Qq/LkiQhx
U0iMcC7+RQwIyWJgE4PQN91XWa3XUj97ENIGd7nRIxVkKHn7ub6SxW8nKYaugNxMp+y3E9HtBOGN
GQWiyqNgjpB7SkabCDIkis4+Euf/Pzzmy6X+NMYgJ4LHKB8r5ezFm3g8RvqP1HsYwMqzDrZofBeL
m///Cy+oiWEUiyrAxg7y6MquimuwAHC6xxe90QUI42pjv+tR3geI15cOCK4sMTSQa9DPaGrhmB1v
sxh3q/pZRGIRUOA0lQ205zjN9DEOTzI5CA2nGr747f6kAdhiotbUY5F4CFQ0MECP/V7S7bDk8Q0s
B5wXKIw5ZApe+WgZhXjeKThX22mLevsuPRVQropM1FByM7TlXWYJp3QjpmZy0h3C2b9b0p05JLv4
DYyVNK0CkpgYR6D7PEP9yH9F/+LX+zOhUPQr7c6irmZN1vimO60l7ydqNRuF8xu+HyxsrvTyNzBG
hDzwkNY+vkMLvgo77S36OBxqt9tGH+Vn8CCDuNNB4V5y1g/Icjh6sXbGopKMjGpdAhciWbpgItdy
aLbky/tqZRPVcHFDzPIDfR3nAo3zmpPy6o+Lh+cCf7b4ixPqKUocGyHw6dPJAEXHm3fsIwd7L24g
wvbYHrxHcgeaGf9jfeE8XOZij9S6oGqGPQeZeYj8iHKaBIcr7stB+X6CXKxOizGPMMhYXVh9RN4B
YhFx1JlTyXmbzj92xXi+r/4LGEJrT46M+SOCFDgJtH9kvCEgS2GK8u8pEPGsEZGj5rUHLzqjP1v3
zYJxgapkUxV0I1Db4kvwFDuJQTuTgODuWUWONKw36zt2449A5TwnRkH+hQ5zgx33nwpDjUUBZO1R
XtuQU201tyAl5zx8V5muPuVMGE3mVhJU+/EEYR4HEKX0g3QWCARl7egoJxAr72Q7O6AIjofRBI8Q
2INl5pmF2mHm2r/2lu7s11d6m7FmfgTjFEMNJBHKLPQ4umB1hSb6h3Hw7PoU7vKdcQJx1lf8z5GY
8bmwdU5ofRN0MNCML8SQT1DF1ay0p47mAIZJuefcYbfuloGYD82F3chlpXf6LKwNaiRkapSfP6ON
+uOT7vXztIUo+kNzDH+mD/lzczd9oFDrK5bkeJzX/+zX1vaZ8XvahMBUlPEjQGJbRveRuJHkbZoe
cyiEcHaT90kZF+cnYgbNJ0BpZvIDM1XqYBYf6cuxexV+61sFTQKOdr+OuQgJVXGIO4HWFTHk9SeO
syEb9XFmTZHAhNwaVhFwwsYF1slveqD/QrC7GIZiJkyAyBNbOmPgIXUbWzC18zPaYT4xU/1bfX6r
TMGwKid1S7svTB0M1JvwQ71rD5HA+co3nhZGpYK1SAFrlwJdEqbIE/eRVsiFDGUZaU/6faY4o/47
p7yYfGHZCMVBCoj/hXjaTSsQTdJ2DEUDxhuF+cZo/W6boalgMrWMqr6tGYF+CsU0uPONoM3tKk/L
u75PkqdwksN9kpI0dz2oB0RmWSLJS1QveSKCXh5JNEDFmyhDCRotCl3cuu9rz4xyMG86ahiOBPye
IX0Co12ElsGaqLuortGwIySSwHss3lwokAHC9DxeBWAvggYK4wW9Mfa9qsIq5ZiKzthnnqXUtbDr
mxmwbECETHrFpWPbuyhl//Vg4AyvayBPwuiViLaya/NNtb4P4wJ3WUhIuWm02H/XR7lAwqbijZne
3iqAmvljUOsC5ZXKrHQwIinKIihhJC26AzUpC3dBoerI5Q49x0SXoLBzs0ycIRNk+69XFRWykPcJ
+JyDsagPua4WDyRq9A+9kMOBg3VbxMO0o4pxZ/BQEbDksESSA4Zn+7oocU1Z2bNxzreDTSW7TaCB
VEdmfMSoxCY++q5uUydx4IjeMpeXuV5Y8NVvYByfFLdN7/f4DV10pPQ10H7EIKVb93Q8DOajjrHo
t7kOjCk7e+25CjZR+LQOcetMrz4lm4CvhqluhAkQyjRuJCnZIuax/x4CPEaYzMY/YLibV3lxJWq9
kpVg+8YzBwycoard91nMWcVtQvJ7/vUPBuOwuwZMm40AjNJJAie6T1/0o7gjviPtDTcwpcKceJuz
9OUul8Wc4zrUAjC9ATKZKtMAQ23HCXxv236ZRTEm5iORnAszQnXUngKLVKhW0EfFVs1009s1Hm/6
Wdtnlsh7r81/+Dp+mKeJ/3xNxu4E8FkZQ1CBWvAhuZ/7CCz9Bz2Q+9DSd5qDjpqN8Sq9difP4rV8
LSIrBKyVqH1JIKK6thWVdtBKKoGs5qGpZM/Re67FJh1sFHzF4WPdMBcuApAZgGl3lnBB4M2Awb0Y
SVs1EMWQzmM38yShV863BhUae+7oYdaRN2KwdKDxaTGuje4aSNwzDrmNgtwocugOZwj9xGGfRr8w
vL2+qttgAQgXGLPdXhy3Sq4EUO8CQ8jM8HdXv4m+HQW8A3fTWjvX4ZG8AxMNNApRzLhGqWmjE6oM
meW9iPviSZ3NgmxKHdWdkfOMXtimKyhmQUFPvKESQOeDERBBjcw0eFJBSBkYpqQiCWqVE6dKt/AF
cbTAmkp1EMpJ7PRiQjsDXcKgwS+Kcyn3Zqwgs4uWqILXE7MIBK4n9HbIGAFnWxp8opZaFneonGCu
fgwl0wCpNAgLnFopH9etYsFbiajs/geKfax7hZKLUwOocSZgqrPz2BY/1iEWjBsWMeu7gt/ZuHnD
lkqKmK4ARN/5durJ9zHyTUHMa55Z8vWojEOlVJ6pbbGqa9Nr0R/R+8mYYuxi006PYXIQolef7Ch0
OUL0ZJSHabD66K5I7kH8tL7G25TerCEpY68oCIhkBOPX4GpDtTjwlNQiDyirIaN01HdO7MYucq+j
OW6MBwHvWGimtOaL4Hqcs720i8jniagf4g1P2KePKAhaF8Y0tSTMoaYtjkS4WV/g0iZiwH1uAUDX
BmjIrtdHW5p7Kp4WIAt5pfl+Ig/cUPGWkGT+hgqoq5HzAIM1qwKnhN2oppKKtyk9xL1tmNmmM4eH
8DQ9NGhuEDa/yLbcrq+LLJ01kGRD5USH4snNkOFU0LyhJRaWmrXZ7t9rp4lMDI2A0K01U/Pc2cQ1
7tDAdOdtK0jN7FIrhrSQ6Vv+hvdjbhOT8xe4+DHk+ivHU1oVSY0fg4YHyTCRNvMs9ByYzX20wXNS
fNceIV6NB1Jo3X1xPsT8t5nL/Qqb8dwtZiEkUD9A+eo9/j3ubcl3SlO5b3986l+TO2zRA7Ltj6pm
Rg+am+emZHH5rRaN7GL5s5lfXFFtqURFNe9F7hhP8ntnoqh1oi6Mzhoc4fRAHgpOvv+2HwJ64HBJ
eEfDtGUQSjOQuOx7v8qhNNu4oPsdnfqEvNe5rp34fuCALSxvfqXrkNecVchZmcvRj/NqqlAQ7+Ot
mArmNG1DiJmu7+OCK4BeH9p14AURWrMXsE7zMix0CSY0ShamBsE4zEG4TdsjXJ+Hs3EJImSBbPf1
N/OgqlVnuQYBnbvaDd6U3vSOpDXFp/v4PXD8aIuERG2uL2vpaFyBzuf4wjaIEKSZngK0t2rX30qm
jvh3W/8o3rQT2ZIzOG6qTXBKD9KsUsABXwg1oB0NClT0M6oE8d81uGZMQ+GlOkQzbM8tT9FO3/uK
OXyQe4SFD9lraNNd+CN+C58it/mxDr7goEBiC/knDd1ygGZGEdISOgeBFyA2zE5ecBeWJ8343ROO
H1wwm5kRXgV1s4okz/f9dvF59TjMmjjD2GJfvkrKu5r8ve0jzyAjl62jyfcm5ZDVbTOCZDsD7VFp
9rFNsjOmade/1MIu4X0gw/JB0CPjLrzeJZJ4itp382MPw3Hpc6+7uQZqw51IHz0wLgrcSuuS9wDV
IPwHNDIxe8iOb4RpN4L2d8yspnF7B3Rdv4zOzswI7Ou8F9DSqbvCYg6AgA4hElTAwuRxepee9K9g
o9rthmzI2QIH/En8EHkvzQWruMJkQiopL6H9KgEzdwJIguS4IgM7hjuWT8FdY+51n3fMF3zkFeL8
ELywQ0GUMPTcQpBQwwX8Kb7GvtWY4240a9twvCfJSvbtjqdAMi+DufquQBnD6WuSgylyXqbxNAkH
jC31qiU3qZmhxXLdRpei1EssNrGSpx1VmwFYeIbVDkSSUGu2lKfsENn32kP95NvrgIsfFOwJsFI4
EInNEYN2M4NXE+Es29GacN1EynOJ1ru/RJkVeWamMYyHgASQJYgWRU+c8EhBC18Tg5baLiQMxvJY
zW6WwoAwtlEWINLwBoBQD0pZ0AeWM7fmOaobk59FfyCeIuMZjoks9pEnSv2gDgNUfyICY5ft3i84
JnDj0L8RgAG9m1lchMnaN21RgP0cpHNDadhZaevGo5SgeeLjr7cEEQDERNAVr4lEYW/pvCrwjiyg
koQJ+KQcMMHx5v/1swBSLwpIkiQRu44HCLMWoc4DWmkgPs8C+UFuO5tmkkt8jh9a2PgrFHLtFMak
99rIm1HkeIe5XlcK27Os1e7ffzFlZlxDTUVBGp5xA92ApLw6gVu9S+ixGeSTpmEmOG3/BQxFjpig
1xNMvWxNd5wEolYUZfEaMtcIaGaRaIHHuj2fhSuXho2BuhxuQcgpQx2FuS1IXmbI6KtQU6Z00xuh
A6p9t/dVu06ix0Ho7SDgZb5vrl8GkrksIh0DfEOjgXA/VNCY7oTFL99r7HhAxi7ZKJULfc71Dbvx
28gao4CBMBSCVRCqZExcm3K1oA0qqrpeI6jG06QvwPFQuOqkP3ZeyomRbrsJZzxEvEhsgXUB2a1r
Oww8ufXaFDodvVe6beIU6j413Bxt+NpLHL9K0kMQvBs+pzK+tErMRSkKUhoInlhhLkRVfZhWSLbK
1d4PrHxozDo81APknTtOhnfBNaG6hzibzHpjeBRdL5BkcTKVOaAQBO9S2Tu2SYzZ1/J3azQP63u3
BEUQEGLyC7cGLqdrKAW89D3tYC1U7USMjhftSQ/G5ljUpWA2/vgvPBUEXjBtAlYadS59XeP1BI2F
HsGBqIjqYOLB1DWUI3mJmKW9goITolwkYzDQKV+jGEY8wnpQQ8ylWMPsjK+Z6Gp9CKVEQftEvhmz
7H39Oy4jyvPa5tudreWVWtUlVanPvRv0n2QEMZ9SmpNf1Wakx5ua20jOw5vvz4sArR7qJtcC4BVp
+FsMGqvOhv0ARXUMpzyoFS9eWnD94L3/szzmiI94Z5ZJjA+qZ/2mEJ4llW5ynnb0IgheP2DXm0lF
2XbQLB8NKPdiDUNMdqX80KA7WJXiv7/3NXKBwnw5P22rOJp7eYaAbMTKe2+b8iRPn35YcTohltaD
YiucIu4XcJszti5P4A2ZohGeuHtMesPyBcEMeM534Yb5nkKS8B9UzNmrX4mUsfIgrIcxQskOxDcx
fPNQZc28+qEMf6Uax18swoF3VZdFkGhBHvja7sYhEEWlmG/Nqdhr8TGRvyq0nqr/FL2/6+Sn9VO1
EAVqkKpBEIDABl+R8fSV2Ldi3SHiiA3jUwDJqpyFnBfxkgNEeCaj5IMw7WaaC4dIVEgNX4s0zk5s
M7vtx5+oaaADkXLuySV7QJSmobQ0l/zZglYolXjDaWhbibQt5hrNRNzOA/Drn+w2fYvb8RKFuTxU
JUwzo8SCmkRJv4SJqntvkKt7iDiOL5IwaVtUVwoXXSsJkvNafYgK1MpBtREZZ2L03ZOaOqTvdus/
a2kn8YkN5G7A3HvDsNAmxZQlgYIEn+Hdy2FxP5Qv6wiLGylDmhsOBG8sdpiR+DQzxmpGCMs43Hdi
KkXuIEvgnIoK6v1qgo6XKV2CROINKidQzBRhQteHwWtk2aspnDAmJ9978W2K5YcC9XTMAaSb9dXd
5jiYbWUOnhGO1AtUGI8Ahb2kd9XWUScMNgSmGtl5KWO8x6159+jSaUdXE65qCIIqhG3ulAS/0iaK
zqaianahKu+msD16ybAd4cq8qt3HSmWvL5QHyXzTLldHL/MBCakqs1FUc9A/G89OfM9B12UW/gt/
hvclhWgUHpk3k5XdOHaKL8CfNVnotpr4nonFPi9Qk9XIqRnBS5RqzvoKl6wGornyLC4JqW3WqQXl
NNDIQMiloQCnTGg2TrODkqPOolNOKm4xVMZ5m/0nAPHPtYUSLYpp3sJCPZRu5LjH1CRw/U0Ufw4a
2FTuSu9JIxvuZPGiq4PFwGYUdBuxrFUB2mWnWJlb4mrNlLL0vmrijcfl8FmKgpBd/w8MS1JV66MP
PVDAiJXv+M2rgKJFmW+CcTI7Hr/c0rZRiMmiOwz6aTcEwD4VpIhAQBaRv9dBeVj/Mspes4RmCCBm
FrvrRrJ43i99C3P1+SCLQ8MWdktt5buwesx1LTfjvHcT6m/IlPwYJgw1pWfwGHFuxKW9QwcEKhII
nJEkY2xGK7vM8yPYTFzS2Cyo8tto0j0qyyUnElu6E9CTBlf9v5wBjEsLGznLp0FAfNSOP/LSCEx5
5IkAL+4ahX4Ehl/AKCHPi72Ik6N2SHu0Hs1Sq6OJYSMzjyJc9SDM5tLE3fRcwEPjrY8UD9zITFx9
DaXnwjj1E9r51KbRpX1jyH5yQrBZDCZkQw3VDbqo1k21J/Gd0tDgkQSkPehtFXDyNLdrxnMOngW/
BCkUnS1DU7mnfYEowEIlw+lVc/RAvN5QM8se14309vgBSEf1SUHHOubSmRXLXU9b2UCm36uPmfpz
gLxRkm3xVEVHGSesuTXKa6h5zRf7CC3DQgZPYgZWTDDuG46RI4zihRA8EMYgO0rrUppb4VLMP9cf
htCZMeUEQksY6GWCV0S+BLN1zOkK9a4SBx/tMiC8tdWk26ZaspEFXpJkAQat17jRdGQRZFTzr7/X
KCFcKCTkm7Na+wWqEVfz4D/8wv/rmBbvjj84rIiALCAd1ssoFKgpRAQKYVMLg+NRieMOF5djYCb7
m6gCbU3XyxEMVHjqUsVXG73OEvVcNw01z8ym5ckcLTheiEciUEXeDpketHVfQ/llhTOcGCDtg/ZI
qju6hsGZk56Htl79VItgo0ulNfF6yG/Dnrnch5cckrgY/WDJndSwDiIvBKqeJM9FVb2SAre0iB4V
MatNKkCOxTec9eO74CckNIips+SuiiwkYyOd7EdJO4W55WnippM/krF3J8RaI+WR589/6ToNCkP8
g8RaCXg4/HoYgNToL1Q3cIU6gkedafhJMXPcOCWvfHBrL/DFaJNByl3TbvudaViA5Bm1aiuumhek
FKAQQCI7kwue2NmCuQBhlnqH44cTZNtnwXkTQNsJ0RwyAXtZj0A875eOVwc/va7/miBNiJkei+TZ
vYSM0PoG8j4rcyqSJvfQK4/PGtSlqfUI4+6ifqOSt1DTnVp411TOjb1oMWB6Vg2IktzGQK2mtHSo
49ySVHRTBQ8DGW3RMzuNE7cunQa0ff4fDkoJ12ewgope4alYGNhHkLl+U4zJ8iJLoO+p8aYLPB7/
20BEAhQ1cPDnu4xlHtEwhhz4FZxlqR4IyDBk/+8Lc9Is3IrYEVWAOay6XtBQJkg0tPBfhU5EzDlj
zjBuUsMstSLjnOqlxSB3DAamb2/CFsNRUUuEhGhofPYLk9J7bkj1HVUzp5kaKGrNzaUY0WADnbYS
47jy4KsGWmdm4dGDltJmI4zRORCFc1ordO+R/igJwl7Xq51A8peynE4F8X1byOBr6uAeNSQFsWy3
zwnUlAVEZL4od5v1A/I9B3jzU6GqPJddEQ2xLZx91aGJLg5yqJ6qm0JKt2KADlhVtIvOsMIhwPyV
Z4nDpz9RO5J8y+j+uqd4LhXIkKVBrgwJM7ZsUBceKpAjZOVyae93mulXj0Ti6YrfursZxJDQoIJk
vsaWzNIkLdNi9OEI4IS8WnRVgqdltl3/mt9FceZrgoOYULRO4c640ZirE2WKiIFjOWzoRrj7GOz0
F/gkwcpS1qY7flZvj3PTe3Y4xufKTF6fhOdgX/zUbG6T6W2sjQXj7YyXn4YREzasb6Myk+QYC86H
2MnaF22cx6CaYTuBnK6qWnv0qkepqHSTcvUtFz82Xp0zOmI4VsQdYXcphxTYSmT8GofGGgrpkAS8
NueFc4wl/oFhI96sgqx2C5gwR6UpUe+aIPyxvqEL98dcnEQyAoNrFLq2115JL4spTgXsp1o9Kt5d
l73LaHIcHvX6XVG2rceJFReyEdIV3uz2L4L4ZoQW8hhGOTR07Ly6i0dIFVmDZPfTXhF+GrLZ9C9C
x7HahYQoUOcECJ0bqgx2oivuCqMENTlU6bdC4+oPopNb5AfeQ6qt2Omuc+PPr/XvumQhl4jMOmXE
VGmBNkMUZ8TzKOf7wafnUHj/exQU7tCgi15nJOmY218tjZmKLs3B0jg6VTPuyqq2MUTGuYuXfCgM
RMKxR88xWKXn1V7umtHHA9SpsWvn4Dhsuh34MyzpZ35UPjEqzyl9ctEYsxcl0UOWHGjNBjOdW9WF
nNcBvOd3iYmHNE+fYOmQyQY6qUVE3mgDYL5hH+lBiXgehwwU8nL9D96u65t02y8G/3+JQK6/nqYV
tBVTIIDmN9k17wSMZiJKq6Yq2fERwoPWL+SP/75eh44W3DgEzbR4Ld3k/SIMU3dqDR8lPkt0LxOn
T3h2MVsxexugqQEjfiIetAh9r1fm0Yp41dDnVraLzvrpWf0iO+Nu2otPsW3p6BTDXByI+Oz1D7p0
ttBcqML9orsQrotBjccgRwMAfFZa2Vmlmr6MDAcvbXTLuIdtu4SZDefC6MfM14Kq6OA0zvlodjYi
wtzSn9FfG7vaKT9Wr+q2PBi7ieM6vqn8br/qn/Uxp40WGKUpUqyPuD8HAE/n7NjDa23kJ+T//imO
JXr/OgiPo9kWlfM3Ye+0rZX8Gu3RpDtuK/zSFXH5HZjjqAqR6osqfk5TO3SrPYGo5KDahUOeityu
N4Nj2Mq2PIbn+M0CKd/6Xi+CowkMhU1YGV6Q15vgq3puIOWJ06ke2sRNa4x79w9xYGfeP1Vvpzyh
3gWLRrcZBqbwcIQwIhtVJF1VKUbcFJYciuh8BC91D82M+1APzSQKMfrAuRAXbFnDSA5aPMBjirGc
ef0XRiaMHS2RDcqtOANHUKN/dj5CVZn89Swkbj4kc9GDNj8LkI6/xslkqfCCUJyf35Wwn3rSoCRN
eXzKt9QRgEFPB+oM+ICIuJmjGQWar6YgKLbUF/2ndmxsDV2V3r0RmuiQHazWnvaQjRJO+gZqbOuW
suRmr7CZ81pG1Vi2JbCJVf9OX6tjci8f0tLUYaRGAQodGXTZL+LbOuz8V5nDeoXKHFY9LmEwCVDr
9DB0r/lfSzzMXxR5E1g/BKtEtkeRgIQ7RztObgmVU4goEMVoJ3mW6iN0+ojvjrzhxKVY6QqQua0K
EOI0RTEDHlS3OUpH7TAdDEf4p7ZHGxNw4qHern/ChTOOTM2cgULia+ZPuLZN9BTSvhFhm1o+7Ftj
cFH9M1Xjt6x94J1pepLmgkCJo5y2uG+gXtZQkRbxJmP2re+yso/xLEUI32w1v79LBcVeX9eiRWJZ
Evg1sH8K+/BTWjnIKf4LEQZ0pCuvSbgLxVODLEZrVd0LAcXQdE/wIAx/Ja3bIbjiRb5Lq7z8Bcxm
xhSynWWm4Ex4k7CXtZaclZJ+rq/z1mcS9P7BQUM2ARUjef4RFz4sFajnD3VdYMjlScxQjN43oHFS
zoK4V5R/1rFmW7g+btdYzLahZUHI09k/j+0vTXHBoRkNRyk8GRFn8+Y/dA2ELo2LvWM8WSXHEqwD
ewcKN0fAv+uu2Wkh736bL08WZu4FwZgkuicRRl1/u9EAFehgzH4Zr8im0C0JkgxSeC7zfLP+5ZYW
dIH0ncW82CVaTWEYpFIOdvdpmyrgXzAiZ+rVx3WYpQWBIAktA6ino+DGfLcklsqoRbkJSgjpWTP8
j6EKTyJSLxj549ydSxHaTMFMUT3UMG/Cfjw02aeJ7AOLRMWhbf37aVRdDUyISF9s4rjZivK9hOn0
pCSmMdwR6Qk6k0e/puBn/qjimLP0pcft5e9hP3HzP6RdV2/dOrP9RQLUy6vKbu52bCd+EWLnHFG9
Uu3X38Xc7ybaNO8mkg/IwXkwsEdDDofDKWu1yHL3FN+zWvFrPWqR2WknEFafspzc9ygkFGjId5Cu
QC8C8efqj88hoggMDuEVryMq5/3oNOpLPg3okq96zy9BuqUFwG8CumJQKnjUf7u80QJ7Ao8HUtpo
bNYwtsdFFKuddEvZgOarWmewl+yX4vs6Spy0TAbnvqy4zgsvJg2oECp/jffVkoStFCJJYLJnmnAm
m7TNrGo9NDHBtTt8UzDhXYQkiy6vl0wK5yVJ49HBpNDFXoIqQdfcEflH3f1yWYp4xfBGNwDTg3oE
509cbc0cmGEDNmqAapgHDwO0iydxJWJVfgmxuNw8memkrh3beuWmMu9K55AtwUwlTQifrxWYMxLY
GCEHDg96as9dY1s5cTY7WDClB+zhNBwbo72mZlP4Y6EHkxbv9UlWdRAtH6sAYDoOYTImyc5lFpmT
d15ZNehjBwPZ4l2D7WrvDdrz5V1ie815fRdhHWYYXdYDzbevg+EhA1leC1uw9ZtlxRRv/H5Zwud7
kqW5EFEBtA6YP3wxEQj1VO8MvCscNy3DaSRAjSdTGWl99TYtGYVfTEqJ//u8Yed3MzObzQ3DiqbU
rHE3D0AXcG+z+NmLMeb/WFfXsy5pxRcU3dCTBmQhFGg9pNVN9jEbYZ6KEf8coxUBSd1jTV5Vwwqy
cglsB5h5FdzR/KEmxVPsyaK6zyurg24CuTY0PKDjj6/erwh3Bs9EfDyk4eh9M40opqfJfKNq8Kdb
CEFIs7MhSrh1/nZLY82gfY0ItaFfZ/tb3B0T+tLpp1UGQvXZGs8E8dcWSOMcq5gQGWjdV2An+PO8
v6zJ5wBfR3INLVNIsNl47bJTt9mr3hzXehhsxFLz1Trc29VeIa9dcminq0a/SnpJAlG0Q1txnB3W
gKmlHYW4olmCRT2uS7eP0zdlPgyZrNdWKAtQD2j6R+cwGmDOVRtX8NjAn+DKV18GNzuY1vpQG12k
dNRHu4ok4vnsnhg2JOuLd8EFCXCtc2mWMmRJze7DaSp9x9lN7nPcRJc367NzZzIwfeWhrgeqXe4G
qbPRXeopRzRf/2Mtj212TRa0QkpShyKbw0AUnn1ohUanBbdumtaWleEwKdqDHadI+z9cVkPojHB1
4GX30/9xS0XVtqmaNmuCugrt5lmPPxLzzsiOJSD3c1muVWQFOKO/hHHOCLldQmmBC9EFQXCaHy3n
wbIa31GPvex9LjIBDC/gcYJ2eKRcue0ZJneqLIKFa1ugY3R7D5jSFtieL6+eUAp4dYDigkgSd9W5
oZGutlClLZrAUx4Wr/F171FxZFwLIktDoPJLCLdqbjsp8LQQsuJw1sc+/Vi1kwpGlcu6CDcHJX1E
xUgZf8JUrZqmd/IUYtzcuiqB0HJAVqH3zWR+c0ArqSdxKTlCQokWqpJwdyrGFrg9IhapLDXG3RSX
P1gg0TtBqxyVqQmHen9ZOeEa/hKF9pPzjRrNauizuoY5LIc+P7bAufQsBK8SMUJ72IjhjqsdWy2l
E8TERWSP3yh5bNKXy5oIFw11EgcFLcf51IbtZcTs0ETfBLr+MGa7wTqpXoxezcCWNXwLlYHzUTFh
BO/Az+MSYDlNRgllpj7dNYsRZOjdn81Fcn8Lt2Yjhv19c+sV5eTaGROTUyCHZyDfihbN9of6L1wp
Gy79P3XYwm7kAK+v0LUccjqLHA3qvlRr8jfbvxHBnVQkj5MKBRdQOiePFljpvLt1lgR04u3/rQV3
ZnrTo63FDLnX8h0Bv1C+bxOAVZq1P0oTB8xcz+NvRKq/9eEfMIAWnfrWhDBaEYDXTWxEb90r1ptN
3XBwymhcTfAP0Axoz+MhX73/bj35qMF2MEPdJpAP90r1L6O5j3tZxl9i5ZZ+bhZ6ARwqt4GMovNC
h4Bj0PMdWU+uxMb5iZvWriewjkOIloTeEI3uztJPjix1JbQNzPuixw65Htdmf99YuKEuhGgzpEzN
R1z57RKNxQPIAQIHAM6XvZAgZwvT2MjiTJ1oUzo7I2Tpe21HT+ltfVs/o8p1cFYfQDMIHu7pwfnj
VzsTiuEoLBYuKB7wlphOj0dOA/eqfjEAkFn+48g8OPvuTya/EcECss0aZkkxGG4Mvezqxa3eZ+17
7gWj++ROuo/eYMkqCg/YRhozzo20mAyFVrRQqAE8FWjuv1VXne/cKPs09PbGj8vSxObxe/U4R+uM
YOObTLymO3ADGykNyTwDZMOfrPfaerks6zO8HJ5+263ibDEf5t7qCYSpy6GM1CB9MQMwld2Op+6Q
H71nxfeiMRpOyt7Yd49pCOKCy18g20jOQPskGdW2xtKSzjqgqWCcX8GPsdeMb3pzM+p/8eLYqsu5
ZbT/5V1iQppeme8gWUx9ND/tlk47XtZKkDs9W9efjWcbi8EgVIOGQqzrkERd/MWqQgedSGt2mGlY
24c6xR1KDrHqSJaTKXDhXPCNn6s2E6sBOkcQd/nL6GVHb/5ixUwmxu29DGhkWdB2f/M4+X08DM43
1/HakySHUDp1uxJgau0UAL9A779NJch8JkliWHgVbMRxCU7MYbW5ytxLRTGoBKCLbmgeC8WRaCVb
Ss7F6MpgrWMJMWr9YWVBM5wcGiP7eCBTsID2VvZ+kKnFOZmkaIgyG5AXLzfOcFvXX/T26bJZsk++
ZB2caxnbomk9JmKdnubl3VgkUY8wjbU5X5+6gt04sbMRAtx5eFkX5VHzMr/RyAPwM6PFtq7S6q4p
MItY2rIT97mB8vzEcY6kc/VWzVKIBm/ri1HS66xIrkD5fSrM9NR5arCCBqfW7MiaVcn9IPZhiPId
PI8YzNn59VABu4MaAy6jTDGDQv1QM7In5brT1jgsu+wGcCKSnJDQVhBAYFQJj2ZAhpxLNDCKOBcZ
O3HWFNntFFWaCfQzWTu+8CraiOEOtkndzssWrOmQjrvSdYNuSu/GVA9L4x/iyWByBAUwbOGm8spp
ZePll5olMq7xm0J8RlthH9ub7pAALeeIG+iUzb72LTvKKvbC/dvI5dS0u8EYgTiBsG8Ac32ZBx7d
D6AbUFdfr1/zUeKjxav6u8DM+S/TytZeV1BgjusXBf287mtfh2u/M2R3qyicZRl5oADYDiAouMvd
snuLrmi+CkAvcZwV7wqH/yHr7JuREJmpiLzlVhZ3/MCaUNVqhTMw6/meJOFUP9D1gKxO5Ck+WGyB
Aez+xTpuRbJP2tyxZpk0bZFCvb74t3SvFPrvPDwDLDcgoFu77DhFFsIe1yABQWcqKoTnojo6DnMB
fK1gzXdODMyLN929jpd6p+uhm0gh+US+bCuOM8iydoyG9hDXIiJyzGNBdF9xH1x0Ga3etVtHTfkP
tW2JkkJz2SjJ2yUpBqcx2Baio2nejzVeB2hYsWWQkCLntdWOu1iNGjPcA/JYQT295WqgkvtcBuEt
uuhYfh4cfCgbfuJ+R5GIJnYL/1i79e3YxI+IFyQXjkwEd5dWtdK49dAhPGjia1R2oraXPRSFC8Um
UQH+zDBkOANHUqlNKxeOwsDYska+9ersZzLUVeHB/SXk02QSEmGp289wfs6yvK3Dl9QjxxQJ3/m9
V56yVHtwAd55+TQJlw4NoSjqOh5GWbhIp0JLhRv32J18eeu8e/PPUSxQTNv8Prc1s1oto8ICxNS2
D66X3pEcHQNJrUTx8je5D6DuuuhRQC+iYXB7ZJMxnYCDgj0ClIWfOErpp3Q4tURWPxMbwy9BJpca
pc5c6LkFQWqDJ0Xz+r/zwhKXKnQBv7Xh4woVcZOT4qWLDnwgAhS+C9wd+pwSyTNM0FiJHQIoNrYJ
jTWAczj3p6h46+6IduRgeQDeR/wQzh/1CVD78a48Vq/Jfj5V+yXMj7FfnGQdwEJfvpHNOddK6YfF
NaDjwqZpkoIEpEwxWDanweqBTSovDhNeS5dNXnDnA80Q09GA+Edb/qc+osrKCObb0HFdgIs+NEdA
d/ldHSrey2VBopcnOtgBAIT2W4aRwR2uHEhgdml76AS0aGQu5V4p1l2cY5C9Ww+D+Q+aAm4tJNCy
xb7OLFmXg0hPtEuh15jBSuD/5xtrr+pUTRl6hkzaggG80KtIm3LPp3k9BDhEVagSQEZe1lngTzCQ
hukAdCBgGpFvftQrWi2xhuJYEYOTx1vfpwXQC5dlCBpJQTphsKz0T3IjPs0+rlZvlxSVKnsx78sR
bVmQNly5mludlGXB83pW7pGXcq40xB+Bvmbfga6BBi57zP00AXlW9ucAfuyT0MwOdCCAI/CF6GbR
1XI2oPdofVjtU57kIYiesOqLH9uexGkL/M+ZMM6pUpSB1caGsDmZ0bqkWEug253lK2R5v7zUghsJ
klBJxcsGjw/+rFQtkhVej7iuW8YcDIwI/4s0VUJtUY7tklq7rvA0H4Bx/wxz/eWybJGWwHIC4QKq
a4gdOMdUkdgd0LIOB+iQY5UAG6hCAo7K5nNlYnTumGjVstYOVES3bqeXvkkTf5INagqc+dk6smOz
iY+HaqHAdESlUFntALPAjh42gxGZdXR5zURnfrtfTNmNnCVDorIHZXSQLP2tg6ixBftV0wUKcM0n
GcetyDgsQAIzuDZMN/HujQxrpxczlKJ9PwatoQMEVLXnl7rC/JtqVj/SAgwgdTdmz2pHS8m7W7Sk
6GZ0MX6HoWqgc5+rOsyAM6ezgnbQten8bO2Ge2vo2zC1qj5Y15lK5ImWFgAKFoMAA4kAD2gA7IIx
MXNo2wKMYqQvXn+i8UFLbtJBcrxFqRtMoP4SxSMarHVpWqkJ/2bOVuxr1hgsNflqDXaQ6/FrTrsj
2l4/lkY/LqrsofqzAM8lprTtseOeHmvurUnCnh7WXXlb3A07z0+j+2oHSNIVnIusTNG/jzcA0LJk
6LKCcOBMNHdKqtFu7ZQVz6zlXtMDfXwY+kc9vy6REJcRBMtkceZTjK22zj1kJfN0XVHb78A+bY59
NGbkPhs9cLCOkn0VidxuK+/QegsJduQW0U2W3Y8aEFMs7U6puyAfMX+4Oo4/Wsr9ZYcgOiWM5gpo
YBpyVPxr2c1at5lYuwXFP1sNlPhZS/NwkdEOC3XbyOG8KKr4/ZgZkOPGU3hThXWFeff2Xsl3ri7x
cUJRuBXQBQ7EXDTSnx98R6E5NSw47BrA1wnoOQHA2g7h0GkHy7xyZaOIQnEsLsYa4ibkm+Viqymt
nyVCqibpoV1tDSh56PZaynq59UpPC4s0vmmK6c9hHTAFj6EH4BDjzfqpU8ZoMQGZLgiOm/KOITqC
oE9t95fNQ6jcRgb7++a+yPLKiNUJMubMeR/G/CpO0wAvwicE0EcMKfqGIgPiF4l0wLsG/F3gcH/C
KBrLqXVX1q08aV8UJfCSb8567KcvJcqF0mSR6IraCuM8Sk31mDhIRaOemwVk/GFm4BD7yR/9vUBe
M56uUuuPO8tBHY0sAbpNkFfEwNr5kjYkHdWMiVS0dTdrw2kd0h2d7N3lnRPMMkOOzgb7VCwkoObP
5awYSOtbFgTqE/Vt4ylJUXQFOh3GIUI9+UCJC5kpBTSYpWwWT7SoIAFgjaM4DhY/m5upGYZOGpx1
FdVQxU2jMn1WnRdqnxLnsTJStNZIQkGRF/sJi4fBP0avw75oY6ZAKkiyXsGaakR/ogC7oKUeEQwZ
dpUMK0l4+W5k8R0c7kzQ+pRjXc38BwGHQwkunAANes9dkkZpVR/1YW59tfHuXDV5ubypohiDAWWj
RRJw7p+q9SiijT1VcfF7BbAu4kcPIRWa5XxPSYKqkXT3yIRxZ2NdMaWZaRA2Gh9esteHIiyy17aN
ZowzXtaL/RQfU2z14i7bbu0B6sJ6MkftRS++A8PoL34fZXp0AmNQDLNB5/aRqEPiNh5+v/fKJ42M
73qphH8jwkMbEUjYAMLNiWjUzvBqFO2AQR8WQNxWGyIJDwTQNzjR4Jn5jwgecLJq1FItcgTvzl2d
Bs31fMz3y3371dzZT7b/vfkXbOFRHfWRu1cm3zheVpDtwac9QksxI9d2gL7D+5N4GKcMueDAUYfA
qvylB3OFbGpQ5PxZ3/L/CeHCBOCYG27HyiCG99w6x7II9dXFULIRlPNd+XFZI6HVbYRxkSygNJfW
qiBMnxVfA6afKQsihWsGEGm0TAPj6dPsMwotqaN3yG4uCfrvAPcD5rbiWct6iX2L5QBwAU4BcNL8
3oBcEYeVdcm5Lpn2Kl44UY7Bi1DTell2TLhDHggX4GgRNPLPHEXNcrDTwf15ahcN9ikD79Xwj9Xk
vlp9MeLHP98iBveFcQc0fHzCFvJWUFRUDky+WV4HJDkVWRJMtHK/BWAM8twzLO3qloULAfb03YES
rXMisitDJoM7OQRV7r7KIGOxd172YFi3CLQvr5PoAtyqwZ2bRqUqqlAQMY3XJAPw7bGhoZSATaYI
d2AssAjp1ICUzuh3ZZvvFnT2lUMXXVZGdPFsXpj8y91RdG+YmBNgHOiuT7znHM3Fuf1Ref9eliRU
6HcKyWHLuokbMo8uCK0hqQGbkA0miNLeF70k4BOmI7f6MH03UloMRy7NhGUb0/XBchV/anFtEy20
zfx51IaQeAM2bkHtF6hA6zD6VZ3uiiK77dpZ9jGyxeUi+kIt+spkz3d6Uu68p+UBHM5gsfU1x/f2
6jE+LGEVZc/uq4zbXhg4bZeBuyEX0+r1JcNiz673MmFGN13rXQHAU6cmp9k0fTivPfAhQlL+RQvi
WeKAO+UEb1xqsmbRJL2Z5/cWgIlTBAC2BRAn2tNlm/p/9HSR9wL+LSikOD27dqiXlvU7YoIrPhaL
Ue6QM/zqlMkxa2cEawW1gtzKnmrPO6nt0uwuf4DAQ+PxhNcT7mjMqPEP0tGNiVGjzypIaoLT+THV
LqwrsKa9OZ4ymXMTqQtxpo22BaT0Ucs4t+6inTLPzpA+cIlya2qIi60BOa80GMBulgOGciF2tKi9
ry7F4bKmguN7Jpo7voXZDX1XQNNSu8maqGhfqlgiQnBcIALdsQbLMGMo6Vy7ym7idGYNIFn7kNFQ
MaPM28Xj1WBI+rGEuoC1F7M1yFaCRvhc0LjkmpU6WMbRPujLidQv2fTl8nIJddmIYPHQxg8Vip3k
cQoRVRpl9KYFJCjwctf54MkIF9jCc7EiBvt+K8Ot2tpN3pw32BgAr5fpaWne5gSjFe+X9WEH6ZMU
jFixUXBQt/Iv6aJUxl7PV1x6ha+NvhdU342IXusgzL0sSPSWBgYZXu3A5MVw7k/cpM3K5ShOFzVh
tn2znJLH5TYF4KByTI4lpFFZxVUQl26lfWpIBQ+8ShQVNbJrss+um2uyS2/ca3WX7Ne9te+k9KJC
gRjb9xiPJbqPOI/l5FVHVgfqeWBQHVF/HCbJMRJZNzboPxI+dS7keurNGoUEVbkfwYvdH8s4/JtN
2sjgwiwX7CJTPELG8rCGy20BPJAfXbTs4lfypuz+4r2nA/cOAEpwfgxx6PwwAe1PH1dWmk5KdUaT
JLD5EYaX/mWlRAdpI4XP9DsNNdRmwgOCml8HMyj1qyp7Hdb9ZSmiG2MrhVs5My6pQlLoknnAUAdL
1XxVZDsle/WM22p9uCxMZAoMpQOZbkZlwJ8llwImA9BF6CJfOh05N7v3p7UhkYOBVsnqiUS5MGeN
0RQDCY9zeI2hrSAegxuq8wPKu0v2RmWdx6INcj02NYZpegMDt+dm0MzTaPbViP4V8qMzQrfapT1m
jGVgLaJWAcAF/ZLDG0KC+WF9QlsbsAIjbZdEYFlCUu3eiqMiUq4bWduPcOU24jiLaPK0tDqAVwZq
j1b4BqCrrE1ccmJlQrhHizd4o5527D6antrpUPSPWXL8c2PbLht3qyp1kbgpupwDzYIC4F7TCeb0
JWYmcp8I9dD6BYNGXzG3WArFwx5RHyu3T2G/DleLKmtdEp1QFNmRvnKAQg8/em5mlkvGUgeSeEBA
ttPEc1Av9V5H5jarvQeTvLtGKVk5UbAAyGg29wQ0ChA5nEsc8NCbEpZSaGcg3Y+tryuPVpH41qL4
qSUB3JAJ4yyhNdDaVmjsxVdFNRAFl/nUr9lu0UC7s7tsEWyl+KBhqxdnEawV0M3ZhOw436qA2wbv
rx9nUVmGfTxgsuVewZPzskihnW+WknND3ZSPyzjg/Ye+21NeeV8HYG8YJpH1vYiMBDaCIhTYytDa
zhnJuOIpnii4LGb0Ruv5S+u8eGg1d45aeoiJ5CEpXsdfwvhkZD2US+3oENYk5DAVFWb16QHcvMfU
rHzFWf/R7Zn6rqLKpguFHve3ljyCCVGzyc7YBEttuT5tn+dE99f0BrQxkm37TDcPYNvNeuqcVdIY
TndkKk56851oZuervYW7ZLl2mjkqVSPMVHI3u99UOw5r9xkh2z7rdX+wpzu9+ZLMJkqqqa+CEvcv
DIqRGgBVGHm4T02ZhlIYjYOzOdvJoe8RF6TDv+3aScIC4alEneEnnQsj+D13AVqPRntDwU1tq1/6
+Gkw7rpqv/5Ilte/UEdHyKsxWP9PiAyT145Ku8J/5pkZLEh/eA4m12WtSkJtNsEAp01b9CVpTUhR
7fwB3xLkYMGNgXlWFvVp0GSxh/jG3sjjrGet1xWuDLcbkji636k/VvJWz2WgUnOHqufNqi1fYvXZ
6bvALmTsRsJDshHOebl8VsYiT3Dv6Wpx5VpPpRo/5WTdOVjZP988ULjg7Y+jogId5NxIkjKnsVFD
Ut1eg62sa6+JjLNMmGJAQyYskUFOA9D4XEbaoOzhzCpuP/eDLl8S4vhgMcOE9i2FwcyZr2dPLvA2
L2smuta3UplBbR59eOAuHgga4eFAuzWogY3piMsSBLsEhZAiQns4uNP5BqkW7QvYJBwwc9afcwOP
r9RI3ulsoV1pkPWxCewfDZemhmKEhncLf6FPi73aQw/7V7QfwEEI7SU/KtUSulbvG9nHZc0EV96Z
MM74nTnRdDJBWFmc6NzhEvKnSVKfFK7eRiHOxkHquBraiNTMiiavVX/Wi8ccs+xE+XFZF8FNd6YL
d31PvaL2Df4FqT4/Aypg5wzoN/LasHO9m4UazyBUiuxMZn6yJWR/35ifvereOLEJKwVFXhsNJWUN
OPfjZd0ENn6mG3eyXJcmWtNBtwQwKKXb+tMg64uT6cEdI4qGrblIoEc2G1eYzcF0kQdFCokfEgQ/
Z5qwv2+Wi4B/swb1OKzB2dvDtTvs5k5n58m3hjKoJTYhXjeg1QIeGvEx/+wbSq20vB7OHXC1odFf
taks5/Rz8p4LVKHQLxH8i69oFLAqKxBh7YwDxlgjM5j96kp5vlXvpm/JNfqWv6D/5qbZx1He+fl7
+W8u+wjRJXb2EdylafWdy0ZAkBkiPp18T7uerQCYUw6oV4BIQLUApVlbJlbsqn6rznkP4o3KoNWQ
WrSW3xsPZfmtma9HMvvJLHEiko10OCdizGnetyztaoNwa1r2riJ7uovdx29l2BdsDLNWAOnQe0wC
Xhru5M9JNGX7MmeEaKB92U8yphTZ6nGOI0UZc15LCATRBaZa1/U+nfKApuFkvF32HuKj/Vs1zntM
lVd2pQpJIH1ZKLJ6ml9psmwoq81cOgec/2jNqh9oigBDXdAdHdrpa1e9DZihHdW3KgsX3R9lqHEy
o+B8CcY0McFgQi9De6HxmzRVKVs3LmbS2hG8RjN+f/DId2WZDsB6fB0aa3d5e0Rx0/b0ulzZawBh
3Lgy424SE0OJO6DE9QlQeAHmTW7sKqz0kyWD9BNVO8+Eci4j7ey5pDYcMQzdPaaR2vjaobpKj/Af
ph60d8oX+JBqCC8rK4wGAFUO9HwLzd6fc9iIfGIdYt0pCdNSPRpIVDjKh4OhocuShNbxS9KnXHan
pWpJKSQtHSYuu9pv+r85VxsJ3BLWjkOpyu6yDpjrzvgB0tVEhuYmvC83Mngf67Z91hmwDav4ZntP
a3KL1oS5AG6+gQ5yyZIJXRIjLHIw5WB5fI1QUyanxeg7zrD+YGio1rjh3F/T9K5R9pc3R3i0NpI4
l6R6GaW5ybxF/6haoaVGXiPzSGID+K0N55GMRE/rdYI2k4KAaYwUY4gqPdKawW+1oO4mMDeCGQTt
li95+a0eg4lKTrbsCzgHBQBXxNYDtOzrH7bxgbmXy6sovLM2q8g5qLXw1ricmYbVSzI9ehoI/e5j
ioMblj3Y4xrZSIPEQDzOU1lrFZsVONKDBECWjhrEazAlwE0kwSgrRclEcYfLnjp9pRqzRSSOFLZf
X9Pl65ifLBlOtUwSd8QMzNFNTs8kTQoapa9ShQRa79vzxyxrrhB6P8D9o18aCMJIAJ4HGe26AAKc
lQdU91UZQGdnvw/WfS9rBxeero0Y/nTpadEnLFOzOt8xtTZO13YsySsKTXsjgjtcgztq1GEvx8l9
IsO/i3m8bNoyFbijY2WtDeB2rJRegUAqT0KV7o343/9OCHd+FrN1p5Gtkz7aIP4sAcqxN5Kv/5UQ
/nYvuy4bkCfAuxT3UKZHq2L5TirDsJSsF5826EYjM3uWxtKcZ2K+pcm+kAHw/Uykfgrxfu+5yx0U
cFa2Rc40cTTfOwBg1rp70+/B63Sv3bZh9gow07AYfDPsr5+TAQTPfnulSFyq8LBuvoF7CLQuOpBd
FvMBfCOwxpd0bIOuvs7Taw2Txpd3TuheN7LYGdg8CZRUJ7nTQlbSfI/BYrq2xYuaGSGd1GjwvLBt
y51ll98uS5UuM+ckSFxXGq5HhJ077VrDoLG/7sDN9W8ZZFNoH9d9fR1fdVH1ou4ekvf+9HJZvjDi
2GjNOY9h0OxiZW/mZHozm2cFZBBjZ+8KTUOByXb9Ks9TyUKzn7xkWJwzqckYTy4LcoYGBErE9+II
2IS+Ipvckh0Szqk4dtVpM1NNX44uiCmnVymli0wE51KGbjVV3PmwT2/nzI9V8S4dbfgJMnNhufhb
eAEQYO2tUCO77oN6rz2mPtrk7hGEdmuY3Fj7SguaV30XP2av9qvqTwf9lgZe+Gzsy7CUZQEkGvPl
h7ZylYUmPzfvS0Hvvf7RTCWXjVgEJkZYmRNvB84+hsKYWpWdiGWlPskOefyMCd/LZi92LL9lcLZB
bT2eNRcy0mJ5TsvBT2dzl8+x3zT1t8qU9aUITxkaUgDnCJh/5KfOfUvbgRmvNBB0OBhjAkqm79Hd
2KVh25xIdlRlNXxxhgiFbxPt2Rj64seMSrvqy7lckOl97F/QoQ0TSa8x2Gf55b1528uKcsITvRHH
XRVdjPnTxYF6qfrNXE5ueyR1ULrHy3smgrcCj9hvrbjbAHgYlTvV0Eo5uA9LpN6kJ6MOi9fmrfO1
Y7bPTvm9FcTRZbFCc9xI5e4FKy/QZVJB6mBco59RnV+JItGMuYlPRxxTgxoKAACP519iU1fodpmg
qFFgPFk9aHnUAyNYn8M+2ZvO7K/561/otBHIef2O6kpuKNCpcBf92kZIHMTUQjOOusjAuoTLtxHF
nebVbfJsXtEPSL38Ya1IkCbOVTFL5ryFFriRwp1nHUe3Tyik2MXeNcC/cF+qt5ZsEEaEBosG3t8b
xft7Gww0s8eaG9ckxMR6oXa+TW7bJprrF1BDuukVxurS+GrsH5cMsEM776/e0g6bwQQmGcPGPncl
kwlg7MlmBTBUpoz52lrebJl3FNrjRga3mgZaFUwLNQj2XidGWJbvzvB9WCMt/tGaUSuDJBBu3kYc
t6q9kgxqF0Ml0/xqLR+a/sX2rqSJN+EbBtx8QB8zUXLjUYPdpbDqiu1dv8zB2L6TWGKDQkvfCOBW
bTKJmTYOBHTDPi9PgPiTkhqK7hGkh4B5zK4uVObPNx/oAwpxEzhaY6mrx4YMJ89CP85KM+s0YIzu
NlFBWqSbfXm47DBEWwSsFBc9gsD2sD4hxMzVbHnVDIdhPzrOA7oQZ/0ql2VQRCtogBvEABwL+nn5
XhmwUCpNSwx2vPQwBuZeYq2ghzf2l5URWAL6HDGcjUIO0l58eaEHM4CSulYRqJh+B3xarPrA9fwL
YpgzKdy9MXqtM1MbUoD0ct80wC5vix3od556lGps1GouKyVYO5AKGoCDYqhtoIM4Nw0gLBemOztF
4FAS1V3/YQxzYCuqpDQjFGMg0W4wdJdPLEwOSA6AmeMWwZg1X6sRYzNad+9J8a1EWwTmRww1wthg
c+wzNo8xJ7VLyyRKEcRuZUVum2ePqk2+rnmSRalBr8u4uc0z+7VGs68/rvZNnJSGrw5r689x6x3z
3pLhvDHHyl3SbLjXwDc5lo3Z4fNPKq1GS9eWlJi8Jf4Eio18vbWGQMtPpffl8l4KThuQ0NCAwJAS
VZBenIuqMIhO+jwrA0zIYIiCJnEQV7ijtSWPcVP3yiCrh4nWG924/0uLAao4zgVrcal0htaXAR3n
0Vczu98PTd1LxilEMCW2hUFpHD0gCWBjzxVT1z7u6gWl34bsdfU0dhHxbiolKNt9UoRIOOw79WQ3
nd+bH7EbEfMb6Y4xvU9lWMEiALWzL+GWOM+SNMlmWgb5S88eUt17G7Yghf2H7nNkII/k2ronkRvR
g30rA1cUWZJuoUMMPZwgyuPxmcZRB+4GsyTW2T959epXg635Dt6rAbhPic+W/7JFCUUyLEeg/uDk
/nwwbM4TmZ2krbSyDOZ559ETmLrx39ti6UEjG+sSFbjsn7iR/5HFvQbM1B4z24SsBZD8JTlUY+b3
aaCut8MaGsbDAoSjTokuK6iLzsxWKuf/7DjJ6n4ugJhU5gx7b3ayG12r+7c4dpcbd0iNOy22rX/i
aXabXTLQvvILW42PiaqND9NSVCjK6hq4tJVZPXra2I1B3/XovmgMqlVBoXjaB+kTO5rSBFfUgAmr
2S90oznEeZo8k8pcirBVBsyFxKMlKT6JtIPFMIRkx8L8GPeAtFp01VguzFXJWNv0AVTbafLirRIx
zOp5HwfuaeDIWUCKAD7T+fn0pqJdNGCrg0pd23eztnN7Ei2xIdksoYmAuAqTcDo4cfAgPpeTWPbY
Tx3uxGkBaEJUTsT6Vxk7mvtLrGfxzktpHAHhcngs4AKdYKwwx+IneUlkFcqf7Vy8yoaKWxP91AD+
4JtG1iUbLYOCWsTYAXw6PmohsPf8OfrQwgRN/fQhiYyTs/hK4euun52yIzjWo/IATLXjfLVE1Z76
NHrSr9unKviLuW7Mjv/6OL7dxNDqSVEY78lqgWzceKLeER9JzP3k3FSjpN9btPlbYZyNTQkclsJW
AgAiuu5PSqf+owH35ZEqafHt8nH9dN+gLxFBOHwgKKswKMYZmgbCgrRMahiAarw6S//QI3L5cxG6
paENUgXsEBIh5zamzhOdvXxB3NVQOwAwzxAoSS+JukSF9bMd4pxdU66OXbIdsh86Ev0PaV/W5Cbv
fP2JqGIH3QqM7RnPvj83VCaZsIsdIT79/zBV7y+2TJlK3spdJpmmpVar1cs52rW+cf0BfR0UYw0B
uw03qv/7sl5r2yQ5OpEoWVlns8FGj525r7RtmK0s3RKoxYlW0j1tWqVdtRwynKf3ZDPtBz/7D2NB
dwfNu5929yEtYmoeksDYRMFl7VYXVHIN1kSattYhuv/tPE/vw90nMMu3QPm+ui+2o5dVKzu4vJzz
3BMG7eBYJavXKwPj0T0u49z6PbJ7vb9eJXVeFIG0gYrhY+AafUdFR5dvT8o04Q2CWdUS24yrFN0S
KNeutRcvDUQCuYgQYKrM07GuZBl63md6/20ZSUmFMD8j9rPo84PewkWJ/FejOZ5mpp5VZLsJvKlR
ltyv7N4s4sybHgXJ0u5ludppjTEbJ5jpNmBPfVOJwgOLYNa5zlNlG1rmk9q4OVXV5Hq0EuXDSfPH
QuvtDeAplRVDXro2ge+JJcGtZuNlJPkAl/HMmAPp1PjqtA1H42E97ey1Too1MZITCPu05loFMVl5
G6Z+Fd70KXZgDaRqeYPBDI5GJBthnHw99zzPkrbOCi/KnDQYQKaTkvSQCvFM+reY5TdN3nu1mrz1
thKwfNpb+vvKBi9kIGzj6BPmnx/ZsqalcVSY+AQn8uNnt6JpTPPfYlNv7nSFvnE/etIEbfdkP3Ca
rtxQS1HsTBo6g8g5Lkb7ToUPUVsMpoXIsjNBpPcKY6NjuW2SX8VaG/OimkeSJAdo6OCCq+YYtuks
n2TvcdzTbFRpjORX0vN9FfKVqsfZjQhYfDz5QIcK5jYMrEm6KZEYGmOOX5EZGWmRjcJvevMfyjdI
rcDXoV8fyLBnB0IkZqeqDCuIEm72MqI2oE7+io0sNAeCKVSdR/RdoB3IkzCYGnHMWkF0p0bAL70a
xWvvBs10cAG/DgI/zfGdNUiapbGgE5nzET2yyygJQVFJIFMHY22Z+RpcTfVjMG6NMKh1f7Lv4toT
8ETKe617OdDXStXvir1d7km5lotZvD8BxTPj7+IdD4z2068hrJ2zt3N8W15HhFrmVzg+gPpJCSnX
n+wQoJwbDUSkzZ2VXaOGEQJQpb7q+03FP/JkU6Yrt+qSgzIxDGIT0BsSYAJL3zOWyKPkeD5Y6tfU
vle2A/BuF9BKq1OXi5Iw22tiHNKwz/B/HRJGcWNDUrvJ/XJnbhE+BEBbPAxoCd1ZwTunWuDcJZTc
KrTd9oBVoaX3EW8AJuW5dLzWNtme3brgv6C77l0gyBhep21IHyo/vIk3r5dtdelqtmCpJjFRlTsL
EvusbUfL5Ajf8OaD5UzJvbsGA7QsAxhnmoF3MV48p4vfJm7ZY4678Jiwdo5V3ziltlO0dsU5LiTt
bfiQObGCHCqcyakYnuVllBPkVnjLSEInrql3A7DErxq1Lnyj6dSHodf7q0J0qu2JImZvl9dy+VXn
ONARQ0cwMsnKcNEqDdJkeKTuQEDT0/FztH2rCTDnz6ixEmosrSoIg0EYBDRjcFRId66Wdr0TZgOe
Rjwgxn+soKqyNp2zdAscy5CWNEMXdR1P87GJ/Mmhmb7Tc8CQlwHwcey1qY+lThCUJv5oJN05KByz
OI2gUdLghQlxNQW47Md7uS1oBNiEcuuAODb3kFE+TN6V9Uvs1mjXli4hB7ClgIIExBKynKc21AN4
HjlCfEIz4TD0ekrTPl0xk8WNO5Ixe5BjT10oIy5xyAhdDEeC8lzb62386RTtWtLrTJI7w4LAIFVU
fXDupAWNVcW0h2Rg3hQ620SLPN0p/Kydgst2fyYGpw4IMTB4NPkZ+HOqEIirk8nucfCUeh8NH2q4
Ldbc6pIhHouQoq66MgSS5BBR4+GlhIfJ3iRo/hhUzO+4oEHY/INGR2layWMZdWa0bjOLG3TPLMhN
PFobkUyPl8UsanUkRjrCfY32467G8QLUPxicnKahTHmz22ei7KvVecX5t8lPk+Pcs3SY9SjRJ5ND
GjINXf4+RQ6NixfEznH11rmbslSp+6XWe/A70Mt6zgYgSz4+VZKBoGbsKBHDJZM/t+Wt3d2N042a
3iVPl8UsLeexGMlICpfXGImDgmH2FLUmzUuvNX3wW0/mFlHzilJL1w3AD4wZ58cCuKt0jM1hZHo0
YHS2eS9Q+I5B6plehY8iov/QgAFwUBXJTx1xBfBrT89XY3U26EMhSbWu3XSb6w/2PyD9H4v4vtmO
fJIujKbm9bxD/G3iv/TW1xqvWBvdXvSufxQ5SzUkemb0HIp0aunpfUuBdHbZBJZcEeZggH9jz+Ql
Z4RlWYXagqUh1DAOFiAiCozmrFVPlzb+u3iqIhmNnKl0jsgIR9uiXwV1dBQQthMgFAq8jvQqomO1
7Vjmp3zFHy1GFscyJU9us0yzkTSGi41Au8sOXdQA/uJaLQIuvDa6BfUDGvwvr+XCqZ3vD8wAGyp4
2+WUu9JFaYMBRrwoMCI2zHi+xVcq0IzTfBprgGbfFT3JRUAY3vS4QiwAmkk2Ds6FqE+aEDUTz/SG
J27SoqACgwyvyXW3N4LiavLYI8kpoOrqe7In255R4ts03Zitt/bOXkrCHX+OLXX+22UI9CkFurOD
u7U99hxtsptwR5Wb+Nq4Sp7Ux8trvSpQunEiDsj0MoX+iU0xn0RdP3rodg5Eja+hl++r7a8VibOZ
XlhxWz/1KhMvQmPIIJGjD5wqNPPGqzS4n5DtZyB7zlZO5tKT8GRJpWMT95xjGh7yAHp/MA7T4BGa
0ZKyO9NTf5S3EX2zG/8WW4xB+hbudCVKWV1i6QyxuCnttvz+gPam1QPYmB38jK7eUNYIHdTOKSh4
VqZyFuwa6GzIVQGJn8AlyU8CK8p75gzABektdAcCkcN2ByqyzeDYQWf9coHszq33CikjEsV4jwZI
2NOM/DbS6aZAFrNvd+Z4IM5Tp+5t9zHq2UZpct8B0una7NX5eZ8/lbgAaXEQ/Mq+U02IqKYCn5q3
m4Q/asUH0heDilf6+HXZ9uaVPjE9EPPYYG9DhK0CoVFOwrQEfDJtbOdeX5Z4S0xmR7N8qlac5tld
MEsh1lw8ws155r+A8VXZLEGnBqC9pqu2bF9GooPVntkvf6+Oo9s6aPYMNNPIaefB6ELQj6BoqMbR
jwIZ3UmPvMsizkIb6DIjKKNwjYYdTW4JZp1i5Mj7oTRVfQjjqZtAhYWyQBRRlrxa9j+sHJL+SJdg
kFx3ZDA0g1Uim6wGlaOkebW06ODGzSuJ1qDc5wjp1AzwTp9LrWipgigZUTBrR2XKnKLzxjxIFZ+F
91nrc7JyBNekSJ7VtUYzHnPWIWe8s8TvjtynzI/ItHJbromR3KlbOUxoWt55YGDp9mqb/FQGVr8B
k/9LQ8PMyg6tSZOcaZF3LoHv7hDq/rbFhiTPdnuVr9Wizs8pNgjxGkIAtKrgUXx6RVhO65JYpJ2X
RzFonyo78k2RrFnboi5HUuafH8WeyUgwYpdnHUDkXL/o3a0+0xcoc5Um+NtTNOuDEMOGaYMKQnqH
lHmRAJsDkpCaRJrZU3ovLH50MA1yB6jBlRvv/MyeSpOeI5PZxwAsh0WMTXdthENL66pNaDVoXYA2
FUFtDhymgpC1rM3ygv5RU4qlMGnqGCSCmo14qgoNdJKEsgnvBmPFK51FwuDTQHsWwdMfvJUA5jvd
OdMZ+o4lOFrMDandOXhDJlToyibDfYZeJ79wiceNNYDdpYVF58RMW/ftFSXjrxMzyrQGxt+NoLIB
OtpTpO2j4jOuBPiQnBUlz2Pvby3/iJPiBvCC6YM6QBxgdzaZdetgRK9Ud6Fxb/GXJAmK3kPM//eW
eqyidPKGCtWLPIfMqPvm72UNIl8gtEcb1Xlw195l5+MS3yqisQ+dtZoNj3y6keMINFvXAsEiSV4s
FbXLbavsMxbR1DhoOm4dNIS4voPr5rKa511okmD57PM6tJUKgoeQHdTmv9T9UVYvtdJ6IJ1EPxzO
h6HsRQdQD7vaEgSIpdVvh8LYtjGGSDBFElaprzIjsNEXcvnjZqXl6wnt5f9bFMm6u7qNmKHAugEc
TPXwkdnv6bgi4yzmmvXXtLlRzELKUa6TNE1jh42ADIBzNlQQTE+1MR/oYOf9RvTsFs/PtdLeealI
Eio5pqFwJnWMMC0tnPIlHfnWiXu/YpwmCfio0Tc6oOyW1h8VKtSp9dvIphtTe8lVjAs7g88s4ZvG
dGhCtr284MtmeLQakuNS7agfEXB2ngFwplZ50/vdMGxz8RPEcpTxTVTdOMXV0O8vy13caPR8gpUL
PVAoW51aPwP+eZxiTh6gXWxnOd1OdwFgx6o19c7Kgt/rjvYHeHfQLFmS38IMW4HyJw710AgvHHI0
NQ2bDjltC4QFmqk/m3HpD072IKZ4RfbSTT5D8/0/0ZIPMzm66cnsw3p7uErqem9Ya5fB8ir+ESH5
EMb1rK8ybB7pRqAcmXAhIHMytX9yGUeqSC6D20zVUwFVaqRA/GyHGtrvZIcW2kOzYzvmevf6k0sJ
p3he7MTjv5jKHyUlU6lYF/EcrchekmE4iaSb3G43XBQrMevixXqko3RCnbDtnXa+WN1kb02BWz4S
XD3ZAVjvjbrrs4f/P63kc9cRA13JWNJc81t+Y9sHe/x1WcSKAcoJlTQNOanm8Fgpn0fjbjWIXPz9
eE6ilonmDPjS0zNstCaCVUCNejm765qnmuwuf/9izGGi6wTpV0DjyaGOXQylk7fwEZ2aHXhmU0NL
n6zq2TarXWPn18PYfl6WOJvS2fVzJFGygbqw1ZrokGgLFOk9odzXys4qf4XdirEtHtwjQdLuc6JG
GYYKATPr3vWAEjV7DIOu9QkuaoP3PgCJUWg+69zJ+KSkplHDAXFcb0U+7kG8UNJYfVdF7XWTurJf
SzEwGsDmticUv4CRf2oPZl+GYVk0s1K71nxzQWtCgm6NUWDRKgAAidAXLECaDDOpIJsUuTaWLrJz
v+nQ8JPXuLtbT4t2yDdRpQz+wSj+CJRnoeOuRNsoh8C63Lr6bQOyo/JLdZ81e+VOXNyvI0HSqzlS
3Doa61kzoMnYnS+A5ZZ96ppHppW+n28OCdnQkfdF9wGqlMifSPZXOCKKRNwh5GM09jD+cGV7Y2AL
muwSOtBsb93w4Da9+rgPfeL170/tde/n19a2DhjFknvIv68cifNSNK7qo28ypfxvpfKmMewWlLx3
78omujJ23XX5kL8B2O56uk3fkv20echUat3X1xF4SRGcr0SG5+nK+RPmMRuQJIJbT+aRyJoKEB2k
bz2BvOCVsR392Afh0OB1G4ze3BtU38YrHRTnOVpJpn56akQeAvvAhczPaPKAqvem3ot79b32P8CH
4wsPjPN+fGVeY9V31orFnU83S8Kl8IgTIyWEDVD4au6bKTeh8LKt4vGA31tbPGMP+S3QwtbWeTav
M/M7WmcpNIrwvA2rDGJRJ/TrjUWBhp2BtqP9eaifzTuXKr594/iqr2/rFSf1Pe5zSbbkpTpRc1UY
WG/MZgQTfXXuxuDz0aZ9YPvalXqv3hHP2Jq+oNnbUx8gQl8Dyl18DBybmRRODaxruB3iEwD+rcHE
us3jRMdA8b6PHguK92rrXBmb1RH9xXV3AOeEEiqGvORoGD0Qoo0GrLtDgZeHdin0W9Dh3QgA9hWA
SPA6FWiNSmuvCEKUuFbCyKV4wTiSLu96m2M80YX0UDepOWx0Iv5BggnAAwOlM1Bvy0NOlZInMOcR
M9J56qHb2EtXKxpLS2iiqQoNHqDnOUPc1ljO00SFiBbz/369g5PuPmE51z/Za0W/on30LGi87738
1V1bwKUL9li2ZDdmqxmTFkI2yQZgp3gR82OkDkDxePnGW0wRoA9PwyUORNMzCiJ7aJqsBum1Z/R0
+kloO1N8/4hQr7Iecmo1HhhkvfIDCRJOxXbVKy1FR8fiJUMBKVpS2OO8xoJaP8f37CYFvingYjAl
SF0v+2HgoVHc/VrReumt6GAOF9Q3Brrm5fmQtBvSsOYGlld7dXLqZl+2cxiy50x/TS0/zq4Gc2Wh
F++8Y5FSwOkkBo8xD9x6TUKzh2GHgbw7oDFeV/tsxy1qg8v51spwAQEQGlXJdIPp7vgFtZvLqi8Y
tYW3McZjkKPFe1WKPMKmLeKxRlF9tF/K0iPFXWVukVMEDxuA9e/ctch0YYOR2Z7nydH0BV40SZ6u
C5fZWt146BIctiNBg5sZpgMeQmCbuazagtMBAds8Po5Em2XJjVJ5UiWDqQJaHUX3wK3ED6DnrERT
i9ociZA2kSUDQm0A5ALSraZdOfkdvxvE9rIeC2cfnCJzSW0mi8YE52mYYNd9aiQVhEwGUqFRtumh
Dji1wo/LcpZSrzMbD2ak8GbQkHo6FRRphdEqfdeAdftqRHgIvN/BBDAajRRAuuzd/KaKny7LXNoj
F4DxpoFOBDQkSLpFRlql2dA3XusWAQurfe40K2awlOeCWn9k6KdqTVZsszyDjKxClw3AII3GK1lF
OyNoOn8SNJr8uAviaGX8eMk4Zu55GDl6V8jZlURYlRAXvSKGuA3Dr2R8Kvvfl5dv0TSAuw+KFhwq
NEedqqaOpWBiGBpgWz3XBCOLBrBOU9ywr5flLKvyR47klmOWoBzaQQ74JjLj1uxvtTX0x/NpE+yR
i95GZIAx0QPO8FNdFCfJx1Cdra8oH6Y0nAddy9dmMnq0kZvRTkTThHntih1KLd43xPggGKP12RQV
j5e1/e5PlwJFfAqADXSUWXDTS8uqmWC817Kx8YZ8jHLaEqd95WUc3Tv5WP0UJht1wKVVTkHBSZf5
Q8vc2ziLMfbXK1ntwaGxHX55uWWgLEAHDeKSw+i23KENsaOSJsBjjgimAxOlGrdJ2dWHKo66F8tW
7YbmvMLQlhpZyT0bTetX5GbkrRM66pyjcF4TguEfH+Af/UMSZhoMuKGjPoIKodPTu7KfU1ZhJVyq
10MSgKmk/M1jBY8m19XVTYQ++nuN1Xg511qvX+l9764hrn23mEvrRzAfbGIeA1xyAEc/3UqudJNw
G9F4zFaAFP6CJd6A9iKYyLRrXY0aApg5afIZWb/VunsCKBCN9fQNF4ZfWOhIQdcpa/7L9IiaLcfw
sYZq2vC3yBLgGp/LaTrSw/MEmWRuORpI1NrCHutdcs3RnVKW49XovF02pYXr9UTKfICPq62Ty3pL
hRTSVvwWkC1NTGMX/a5UtZNpr7I2e8zAFBU56JQBkdj9ZfGL5xZ0KoDOQPPcWTSHQYQyUl2cWzSG
HHIN/c8KO4RR9A/XILYag2IztTrGiU61tMaosKt0ary4d+4qdfAxZh1jDGUVp2MhTiOYx0LeQkUr
A57pp4KmWuODU8z+jgh7Q/oc1SlhA0oBTT9PTYSgcYpK3dNzjVPbbdlG71n0fHlNF3zuzCY33yi4
s0BZc/oN9SBS8HzNfgrx0tD/boAvYFqbcQ0/dE2OdG01JSsqA03KnqbnAbHrg2qFr2nuXnEwYnuX
dVrIP0EZ3PkuqHfm+PtUpzgcqzydzbQpkS40nlKwYIPjdOBgVhLBZVlLeh3LkvQywxhvUQFZCrki
zdaKuxs1OuTOGsrZohzUlxDQI12IpqRTndIBHn4CswpY+XTgt+kInS2l1X4Tu8fgjW2xl8t6LYQy
IGVDcRF+FI5aBhlgY5ZMmKPDUS8wh2bwx4KvJcoWjvOJiFnlI28ydGZNBIFf5XWJGVMtIJrwu6H9
B9eIYXmMPSJqwTirtHJR4mqlmI+z2Xw2BfPG8ClVvi6vljYf1bM74kiIZAZFFFst+lsbr3a+6y5q
Rsfsnal7TXsx8q3ljujd8Hh325MtGvQvS1/IJGMh8eZRgVykY3rsdCEnQP0w9MAhpLZb6pg7kHYC
a/o2QzI09tthjZRt6RbQEFejO27uiJHhbooBOB2imU2+4vswNbfaOP6HnorrMhoOpskAVmLuLYO/
XtZyySJnjCaMYKLrD+7yVMsqjJTMbqFlOgJfRy9vMWn7955/HjT7nwgpMMyHtDDs2VQsNXkY1OIx
jecG17UZzyXDx24BcAzJK9OS2RWRu8rAYcDgCxvig1Ur0KtpTwrhX14wZ8ku8AJCNDCz52GU+3TF
agcZWd0sG6+PtbqkOcGG0QYgOb5aZI0VDLFlB+5Qj08A8xxuqzzP/FyvQ/wjBR9JEzXpBHXUuNVp
Ona1Q7uxKX3VahThNXEKwEjQtt0oSIBu8kmvtjPsQUVDVR0P4eBMVyaakt/GSU8xOU7C+q0LSbFx
Yw2QoRhLSA68baYHYvLquU3JdDWg180fumpyKfImDkZRpw7/1aiqFHCAtlFYNEJy46cB1sZhU+pl
uVOYRvxojMN7l+s17krd4UFujsyzKnPYGvVIwKWFeRyUVOJ7QD8ngarVIWiiwn1WKvreUSzA3E9G
wCpHBBOvCNrUiLgjujph8EMxD1aN1xaN874sNgbL1AdjtBkQOkfT2ImpnV5FY2sF5U5a3RsT6uM0
H+MupCCGzzeuFQ/PYz5q274usg8lSjRP9ImNniMlROPT5R1fevOinwpBBRwdRlXlB6hOwLCTO3gY
qo7pHJKwrm573nR7kECbr2htC1PasH70K2V0bwHhmjI6pmJYOUZLdxUQFpGHQWgBoCrJGQJAMFWZ
gq/oUpWWYvBM/mS4G9GuxINL9/yxHMm+sYCGGAtkX9wmAtluUJIMMER+zZ+GwV1Z2jWdJNcAPtx8
6DLEL2qR0B7gRTF6nYtN3a5UjxblgBIOvLs2HoKyL+8j0hl6C52MLvZL5jfWTWW61NF2l01lyZse
W4q0RzlqahW3sEeIvw5j5jxmrN9eFrF0T8zzNMgoASMb8FKn7ofjGdeayMCiw0/zph6gbyXGXGIA
SCl5+VlijCdM3X1lr5Vvl8wCeCTIlMH0MLs4//woriCEK4MxLyHTDnrilUpEdaQb03yH0tw/mMWx
LCllVvTpWDgDlrEC+jkF5WsRKLb63OV184hWdeNfTtZRtC5ZfFTUos0dJM8sEn7aeP3SCK1fbZO7
lJfO4+X9WzbFP08DyeQF0FJqAE3NoS0oJSPa2Nmm0p/DeG0RzzcMA89z3wVKuHM9R4pfmgTEn+Ds
LTwtR1qcPxtoXomsR8U0kCRcwRk9VwodHtBJR1IQGXLZOJKwGIjITQRILqAEfiuaX0z3/fj6t0sH
nBFthsAA1qyJQYJTExQWBwRGac0gDuNDanyCMO6mYq5f22ut4wuR50zeNKNSzDnVs0dkbUZ2wRyI
AvKPP/ZXg4FM047gajSvNcsbp40NyISUf6TONe7dv9cTSUG8HS3gf+HCOdWT9Kg/VwOCahU3Yuxs
HXePCXskgtY4G87dFR4i6MZAx79p4mxLJuIaSV4RAUGANfdE2t+OkflwWZdlEYiVACqIJ7mMAaqX
ahObFmNeLaI9IhlUKobq52UZS9Y385kAhg6Z6bOm5yjuE9cMwW0+WZ8uQC2cj6YGZwdfEXMeYKrz
lqiwPFg6cO9OtyXq04yj3xWrZV6XNbkpTMcH9+3K5q9JkXwfUIm4oSWQgm6D7ZQ0h9QyfxWsWLnl
F9cMU/VYN8DWAKHpVJkusVJSDhAT2e8J+xzzkNatv0qmu5BYx6L9Tw4Gck7lVHZXWimHnJy1vlJv
p/E/o7yaYmTz7Ixa5LbEhHXt5X/fB3QqVzJtvSaIZsNZrtltQNbnsYHgsnI3w4jqsvGIUMr7aysk
KhygjZHgmaRYOrVsDJNu7DLEyMT0ohEZXHQfhcZrOK48vRe27kSQdIPYoAfSDAFBrZEXTygS6nsg
CZbXoqn+y5x4bRD5/L2jojgBznqCjBrGQCW9egXMvZoBJ9FW2ataI5kQ9T0FEx1FPHpjAFggNPV/
WEs8hoH2gCYk9wxbMnM0xU3SnqHt2Pb4gO7r2CdM0LD+6/oL5mmR4P3Gf8XNJSmXDLypXQeuA0g9
V27BYmprQAQy8Ez6e+s4Bn6QBBGhVgPPoJEAikWiPw/kwcg3SbPW87t0c50gTEiX5BjGaMArICic
mJ9lk2fwoHU2tvAq+0pDAqWKvVrxW/BK9tN1YqwY54L7Ijp4/bB1mPKz5DQGI+WMCwqACwKmIU3J
NrowN5perkRRC8HNsRiZ0yg0ey1XcoiJYvRihf9xo34y1dLvdG1XVmtWsihtviFnmFNgfEnOMhnr
UeHuBKWwX2pVXqvmZ5J8RUPrxxjNvGwpCzcmEuTIwwM8CnPX3xt8FGhrSqsCixeqGQm7Vwrj4NQ/
LktY3KMjCZIDqVXRRAWBBCcdPIa2iUnrHs0sDy6LWVTEsjBQaBBYhCmtWpcwUQwqh+NwowfVGZ+M
ZOVZt2zsGHYCxD2GR4mc6y8T/HVRWjD2MXwMZ9Ti8tkBwoBZUfeJIbU/PDjmjfOl4l3Jim57WcEl
R4wqJBKgc+yB1Pjp3cbMtg4tIZiXunepjZcR/5n0m1CdVrzhkgc2gCc0q+nqGFM4ldNYBdf0BIC/
qeHcgL3CH0ubhgItcSTfDqiVJcXaHbPQ+of+KExHoy4EghjkHE5l5hNnjM9pR0yKvpnRuLeTov/P
yY3rqrNuWN/a3mTGz3bjPCZ85NTKYm3fmFy9Cot6b5mNEVRdDZQgzXi5vOqz5NOkMKpUcC/zYBQA
neT8W1NZGk8ESmENR5Ww9ZCdjeqgKr5CjKQI8tzHK3a8tM3zcxudOHgSYBdOlwLz4lZiNxHzgC5C
w/7TcZDWmjBvsLLNi4odyZEiP7d2YsUtFYClDC/deD+wvWqNKHbuKnKjVUHF/+HuQ9MDsknz6UHm
+VSvBMarhDxGaO6mSCYByQKtYm2jrai15G2OxczLe+TPzK5LW83F8tnknjsl7cBT4pLny0axdESQ
McA2zfaKfopTIW7SFujMTZinjbdhfFM0JnWdHXp6OraJxb8s3JEwaaNitSnbIk/hdUyV1vW1nmzb
vFpZtnNgemAzoNsKz7IZxcmU89nATgN6jgHfVtcttWKDchvwCMj8UD6me70MA4ubaGhHhsRKM08D
sKrFbjLQfg1g0RlqTmvrt1WvUTsuWSnCSYygo/8HE7uS1cDNhzyN8aBjneMDkB8n/HdWtdtSe2ET
ZkluqsK/vLdLBoS0pwk4KZSacO5P97ZylA74jTn2ti7SXa3mJvpL4vGmNHL7X0Rh3RG9ExXlLcnr
mbCjkBEoVzbTDRGARhzVZ9vhT5c1Wugkx2AhpIBYBGDj57MxgAcr0NCOFyuztk4WvwxdctMOXyL8
ZXC+d+MOpfFe9YAD+KQl48bSm8pXdJUOVr82vrUU3BwfHUnnrI1asDfg6AjA4jmYnAXNXlweuuRF
H/7Fk/45OHIP/4DmOp5HEBVpH5W7G7OHRn+uq/3l1V3010dSpGvZJjwbWwtSiLsn1Zuo7sAJMvCV
y3/pHMxTJnMvnArYUskqzQh1raTAKywyIp/0XyqSopDmtOB5VpIANWDPFWuB6NJRIEg/ELQ+IQ0m
H4UkLfWiceB5EMVvCPpzUuToXefh8gJ+z6zIV+yxmDmyO3LZnVanvUIgRkG18qXPrAGNVm3SpZvB
csSTCaK6MMAEOrMo2h/6wq80MvyAr+Lo6tAicMq5Q654CAm08tHVle517LVkxhpFmxQICdD2E4gY
QKSkKZ3PQkzkcbCbvEImQHOf0jAlD6ON2fihCNuPGr8FoH/on3vPa3fcdjH6G4NIMYcOCE+g2KZx
B5Cph4Yj0+Xj0Lajl6Z16Xq6oWYBj0eDbTi6d9rAaXOb8mky/LZxqvsqrKcCDfw5OpX7qnM8Z7Sq
oAbIXBF1YIFszZJhyDvuKwLgI17fkqbTJmrbI/ul9E7yLtQMQD2JA3xjCup0vKpGEyg6rK2j3jPT
SrevssExfN2J1CdeD2N605vCvtfigowb8DJzVFhGPb/L9KT3gfsd2TQ2wRdm5gAGBROlGr7GFRmd
m7gAUCD6yQznDjXhZh9HjROM6YDoQJhVqm5NRjrbIyJ1Xnhag/y074d8qzVdGRSmW7EgJV0LiK/E
5NcALR5/hGqc9h4flWoTW3qVr3jSpUN4bELSNdFMfGqGFMejAFRVG9724aODpI+bPV+21YXiHOph
ABcnM0UEEMYkQW2qmrE2JxjFeMfKXexsUjUQ9YsLNsoqvQ6dvaHsLstcPIVHIqWIZsSQgsMUZEQa
YLRXeo0W2Lh6iKrp47KcxTUE0gdw5gCRgTN/egxJW08DyyEHBeIdB8VCWacvqWE/Vj1f2a7lZfwj
6/vnR0d+FIwn2pwKnuyd5n6q4qEzE0+4P8xqM02bNntImzUqiYVHxtxcB+QPQM0gknAlTw0w06gB
ejiSdOQmqu9LftOMP6P4h0DnihUIHNjkGeecgn0QY5e01P0ke+/yz8vLfO7JT79CP11msEW5YRfj
K4YMEwThUyMyn6mjF87TXW9x4iVr5chzA4LEued8fuEj/S7pzSzwDyZxx7wMo/1VrQRm4u55uCZm
IfkKOYjUAHVlA3JJRg0K+WBX+VTiJuT2k0mGh2SIm10XkyvbSEpa6Bn3YgOPvC5p9klZ1xsXPXUr
pnUeX2iA/cNIEdooweEig1hN6EytkjkTm7TtDWLZeBsWbu93QukomQSysVas/71XmDW3sbgaImd8
wOmehhpgy7UMQosazbBfWSyo0WAnlQ+l+DGIW1BMimmtbrO4rUdCzVOhahHmUWPCkEZr2qWa/d7F
fVBi7v6yvS6cVSg3lyAAaQw+MjnroYI4JCzNFvkAQLMVxW1DngtEGwUmMdCOtSnamyJcww8/90Wz
zLmzBkuKu1cy2QLtGqRvYLJt8dW0mZeCViDEONhaz9fiGh7JkQ5jCOwdgVosfGt7VeafXbHR+Ep4
M2/DaXRzqopkG01KeuBRQpWueZjUko5ijcBjbbEkQ3D11rFiBiUyAKzjpthnifvg5NcuuDDoZWNY
dF5H6zWv55HfLio3RYkFyjD3TnF+Ka1Np3Fv4OkSageuhbTt9BWRS9rhRM2A/WhkBBbVqUhi1P3I
XWSY9c704+JOJLfs/0i7jh3JkV37RQIU8trKpdKV9xuhq7pbPuTt17+jxr2vlVFCBmbuYmbTQDEZ
YpAM8vAQKHKZt+59yxRWcthNQ0PUyJMYQU5E6FEj1G0x0j1noXP9BHliWMses17pRIjpsO7bxIqQ
KK+dMucumlsslzU7eCIdDPQgmUL6cHlsQzWUMXDW1C7jAUNA4RAontR28QRMYyvnZyxKQc3MqIQb
IMR6VwYJzYcx5P1RakDnbA01iD7/uebgFcSQvAy/jFh0+YvK3izNWAQnb6hhAqHOs8YOqyFwu5L8
+ueS1rovZ7OyUl2uFTwToLsR9I9FQH42uuLoBedZvXUX1lKYi01oM5dTgC+pD69mW1qkwPK66h5o
h0ickXq+oW3/L/QyUHBCJWRJnhiJYRmnZSShxB3HRuAllageClB4oreZqZyPteW1lvk7jOMjkCLZ
vTzCtslawNYhqutkMP0UdzHV7OvabAYWdMPwlEI6jWl7Rp0oSBPwPqDPUY2dFS5DSb4k+m3vya1L
zDtJi6y2+8fgG0zkEhlU5Sh3IQVkZAqCKU7liOI2JgQAyAJdyDztc0VxNdpyvtb3IiFEoUwPCB3a
+IB7Xx6hnppVPccSRUcxt2bBmfvQItp7LZ3pcKD18/XT3HKTa2lMlVDPh3bOc0iLUDY26E4WW9RV
GquIOSe4MRW1DDXjP1BeA8XLjtIIc501dNFrUkXHUFtPNnMnBplz2wh2ohNnmF6xR8+eqvEcZLoX
JBPHcrZ0xQ9AGRmMmIv1XJ5sngODNmLJA/bANV6Qf3VG5OQgLhfNmPMNt+74wh2KwStzGbFQLyUJ
QL1ppgB6bzORezCVzENtBQPRMSzTKKAq06bmVo3DAbQ2aE/iOYgc8V/8BEzTIRNCd3qx3cufAGZ9
g4JTdIG03PbG4C08zO2dapzkZD+MsaXrNefubxku2j9YM4/x9aUrcynR0MKRNFlc2KPxYybIYu9y
kKk3JLL00Qmbfz7pAS8q4l2y2BTad8zXlKqixEYOjA9InVEdq0kxDlijAYDaqCSxK6MKsmtbo+Hi
bJcIyEZIDONi3QTwp1hVw0RINe6haKqj+koDS5YHLEh4rExrpB/qdBunmDq+1bTdXLXe9Zu6HN93
uaimaVh2D+I35niJoXdKCBYruxV+CIp0pKiO0JDXq9xy4EjYUaMAQF3GBNTlR9RApS2pIBC2dSmy
6mlXFHdjcq/lqKntIs0Xm5MkeXOs2ANyKfKei5w8Z6Oh8KeThw3Ty4sb01yXP6CYiZiaggiw7a55
MOzB7Y/kqO2ppfjBCQsCQaghHvW99PBPT3cRC+gICoIAtbEvhyEM+nyQFczYVMYrkII+KbSzEak8
9Zbzu/yKl3KYHIOohVHVGeRE2HffVM/g2NxrGP5spAmBDIB5YSf13WMTg7VuaKyyjVGgzZ6vK/vd
PV3+COYjK3pO4kHE8LA6ybddENmx0rhJppwELcRidMNFz8YpIP662O8WfCl2sb1VftWnEjh1K4hN
axkZv2yVRHdzHgMRTznmnqBk0Ia9CSl1ZhtQY3wG8F+W36bgR5Yeg5H3tvkeVS61YgxWLLS0ipA7
2rXiRuDpjmxqvoo8ArlNKSpWmC0cgJjjZT4ZzSIR3g6DN1hQII477NUZOhCvvF3/Qn9Gu76Z50oM
84mm2dDx6IQY5Ty/6Z0lfwLGj1z/0L5q+/a+fNCQjPwSeLfiu0/FGS6vdkAUFmAuk/PEod7oWBGD
24c5aQUg0kP9W9ccXbrtC0vPnLFHtc2/ruvyN7+pupLJZD5h28j6VEImGb00+T2qnbVkIMlNG/FK
Lt8jIzC6C4QLc+EAO7PA4yJq9bxucOlV41zTcxeda+W2LV/k+b5XOGe5ZShrWYxanSTMU1dAloLB
1Uhzy8BRitIShv314+PpxITfmChxoWEKGJOyGUai0Qcofsaa5CW0tTQq21pnuNclcjRTGZDmPIRd
VYfLKZa3RfhL75/jObFMXgTasgukZ5hhQfEKU/yMLdY0EwdBBz+MqqeWkd1owwF8mxbo8zDldF2j
LYe4FsV8q1HJxqLTICpN9kHxQ9T3avjrfxPBfCZalJi0VCFiICP6KndC+VXhCXNdyOaX+XtkbA3E
bLDXMiCLzcWdgs4GrQE5VoH4CQztlpgBbzHcpu3JGJMB5zCwNWxtR2tLo8YmF8gbpZc5SUL0A0an
HqajmFFrauRXzfznYE/cYVRp8XRBVvQtQTDRvwnrIQDvRlEDsYhAAt7XyMmUx39xlpjgQoYJvOc3
yHNYkBqDwDqGb+mwz1DCRJvBFEK75JGxbMVJeHM8D4CQwAwpEyfjQUmaZsYhVv2PpjwC4WHJxW7E
ionaQS+SjBxj37xXK3mLEa2if17ScJBGyJNmvxgsWXLC9l0nZ1p+XD/BDeanZSQCzQRMYGh4rrM3
WIoHeHYc4XA2b1CLIK+pX/rxuT5kz8RuBAsEV3dYk/7L7Pz0U/A44reC2Vo8c6vlJmpEcxHfe8VN
B9IMVFc/s6Owi53Gjwr7urjvdw+VFkw7YeIdgCJs9Ls8VikXwI4aJ40NbgkgaIf2HMzOJHG8/aYU
cA9jogvHqrO9ICyuVaVpRumtSvxRPWnhcz06gvlyXZc/6PPLmCyD5hNLJVGzBXyHfaFPA5nHHANc
oPITrNiV8P9mR47yjXQAC2doFbtGtkSUsKzooO9jByt8jrFTcR5B3y0VvwJbcvG+A24Sg0nMkSpm
gr3K+NsZWAtnRyBWXnpRcVfWHEtd/tA3dVeCllNfXYnBCCM0HKHuKH+BmSjvsZ/lk3OkPBnMZdB6
0WiFFMqI9+2psrW94cm7Hsca263feeEusks33VELOYKTuOpe3Bmucua9rzYySxmFF0Dzl8mU5eF8
qasyzcEggjrGDl/qL+ysBinbrbYLLeGX7lIflClncpg4MO8N5O2lUOYqxqo5xtIitP0CstzRrdmv
T7Gl7BtP+KhvJv/6YW+d9VpHJtgSIxUjoYe4ZDqBn0HrvwoeYoF3jmwW1JWSVDUzZLyUe+OsW/m9
YBHRCk6vJpY+tWdyvv+flFKZesdodmkrLQKlaZ+oe1ncCbzM7nsouvhMKvMonvJCD4IMIvRH+RXp
o1Na8RPd6Rxz2KIpXdvgN+pIETPl3bR8n31dWAS8eDbxMk95wl1wi/3kdf6z4VIr3GVWEHMpQ6Xv
eculnszrKtTCQGkWcxzcwI5Oyk3rJe+5i9fVcXzo/RZ3UMddFPfx/ub3eCfdYv+yG38GMFTe5nXu
WTBOrhBpIgeoj+E+dq7sRKfEoyDL90wXdOGfWHX8IuySm8foPNjJjvf22qjyXJ4E4/lMdVLVdPkS
00Fzg52B4uRxcgm4A3+dgL/5wrj8veGbnLfRcr6sv0UraYkuGIDCnN+lDyqFahJbYtS2Hou7rM2P
dVhwqHC3XMBaBONxQAMnjgtllI1BZL8sQz/Gbak6ygH3boUoBCcMiRv6MsfClAN0OWvRT0U2Wgzq
jzTKUU/JdYBNI/VhGFrDo6rECSRbdxTEGzp6OmAWRnC+PDtlCgzQQyzvPRR0s/BmNrVd37vRvI+A
+sUkcp5yHM9WzrGSyK55CipVnLp+eR0VL2FRuWMVf/R02eHa82rJWxcT6wOX0XsDRGlscEIFOY2D
5UGBiaFjGrYPWp5it12lPY1D8NCBBwol++frfnXzDqyFMqaCAZqqzkXkiXo43wFl52i58WUks23q
HxO2O6Rh7E01rkYxCfda0dxgTHIn6s9iBj5rpT9QVffKNHy4/rM2LAvVewxDSstM27fnb6GGtTEn
MQhEBQBxzgnYO/XS0fCgN3hdkg3kD2r36HOh5EOw7Z19gmCvnmgWJXLXKMHiEJC0loJD+tIq48mL
8bDX5YJgQnZCWWh+oGriXld1866uvjpj0hUFjjrI8QFIO3tBV9+MQ2kXUcX50JvGBU009EXxeGSf
I4Brg5luhEvIxw+tBZJoCm0xsTXxbh79Rhes61ptfEBwAS3v1GWcGfRNlxe1FetZTAxoleXvrUw9
g1T3+fyb9hiKUXks2Ju6rYQxkbsCCaBe9RAWNGB3oamfNmin2Vp0bNo9QX/tum6bX2wljnF7NYB4
al3jKOcAqPd+cBNQB4+xwHkA8LRi4nQHGgehD+AORixYEeQfWPEliD9I8tobR134eV2nTTe30mnR
efUI6EezNuMGR1hkkoV01anan+FI9xnmkv43SUzQbQRax+Ly4tfo7wLkq4Jkpc0TBT/VdTnbXwlD
iKB0QP+TbdCDMkDRE2KisiArFmB/Ny2AG1GT+tfFbEZz+Or/imG+UoXbpuolYmDZpqITFDHxpyGU
3etStm3hrxTm89AYxLtGB2W05gQSLk/W3/phX7Y7EEJWxvt1Ydu2gIkxA3BaVPqZu4vNw7MZCLDv
1hCwZQ7vQcyNySBfiqjESVQ29UKDGN1aoKPwqL80u0obiRxgiRSKgiAG0h7k6lUfBWsuwAZDbMID
m215JZSlgfMEJwGap+wxyuhHqxFcPa1VK61valDXFeX91L/Vyj+m+VhIoFGjA9wac3AsIJkqSPHB
v4SKSEhUv69D5NFSEu9oqd5lIJF6uv7NtswQtCJo8i/Ymm9LSXtaFErehuAZrxM3l8KbKRy96yJQ
+MPXYDJXEANhLSk214F1n6VqTAojn9Q0bWwDxa2DmiTRux5iHSxpB4CGMilNn2ggDK4oh8VeiOX8
qy0Mze7loHjsSyN6CoBkvQ8n2rgpFbBHMIlVFHIM4TTIdX/TtWSgFpqTOKZSTquv0cibtzQbZVtt
SPkGHnkjskdSCnZgFOOnKAjqQ4OZ9Js6MwPAV/PIJ304/oo7LZdvxkCJ9qG+5GnZLGq/tbEtGkfO
ImlfzqPgDuGc7Wcx0nOnNVM1OCpplJzUEv0EKx9zFfsx+laanGmcNGxQEBTsGEu1wpSwyU3C1Gww
50rkYvWWTK1G1Bs8I4ZocDNR6128JPvffTeaDfYBJ8BFm0lnynYwzHQ/EXk8JkTIT02WD09GOpcv
jVA9g1X1DqJ6fywoZuoncZ57q9VNMH1FUg7QWSDJHqbws49Obw17JmX20KE/6oeNSYA/l8CzR0d0
jEERG9elq2jp0NtTLmqgEctkV0vEZE8yKrkZWabc5VE/wJIEl/Z1sxfqvjqooK3aT5iZ79FzGCOM
XYC/+isNOhIelGzObPzq0jjUrRYXbqXUOnhno1Gy8xlHbiFlC+AvqIitB1mdLozQU/mo1HGC5DVF
9MK8/Ute1pPVCqbpjX0Aqs9K1zrLUBrxY8RABhiMsmLSHMUMR+yhwXiLB3xAUtpV2YeP3dy0xmOW
jd1k9yqVXunQ5n6pjCWxNZBFegMh009RD8EWVJOydHMwwz1PJr6ZQ2igFQBEKJAp1Wr0qoBa2Dgo
YWU+IfPO/antGimwsORZPs8YRDMt8Ptqhk9J155GCRtSDw3aC1hnsfD+0krECr/CNALVAlvQ1FsF
NfXZ6uISFR55KHqvo1R5ifMwxQKIjNKDkIuiXwZp7Y8VeHGMegbiFZM8Cp5NqaRTKw2DJ7XHHot+
FNtzJ2MTWQRPdmgiWvmB0JonechiCbLDNHF0sQ39FjsUHoDJn/fygIYq8KwxcYugjXfKOIMwqTR7
8HGr6hA6Zab3+75OAcYZ4xELF8A98FuO+zCxmj5GetFLI/ZghmNwkgUhexT1YviFrW+xO5kztroN
ResbAKX9ioQRLH5jYszHlCYBiJlU+b5qiGDHOerglgydPbXqsWBmFsL6A/PzsWTpeRm+S0mCXlYZ
l8ZwF1CaH+ogA1OPIbbZvTI05mMrVeFdLtPpfZiaSffEVDZ38yAF1J91oTlFJNMRAIFacvM21e5B
iiZ2zmAIGTm1YlY+qEJLj5KgJb8LFckTJphMtAEV8B67mKvFKlEtNfrhsR0oVlqAePagzfrkgI07
wXJMok+cuL0xtoGHMQb6wVqOgiMmGS4D3GDquWo02HaNdYiiI8zAJY1YE6+bjqnpLqLes1r9UrIa
c4Twnp2VHj6nsHBocQbN8ed1B74Bfrv8MUyu0ohi2YTpEpMyUEH3T6DKcRL9YxxlZ+7C30X1VYXq
KQqQjrWtFXPBUptPrfVpMPE3I0Jm0HEp4A/JIaGd01XY0dBIdp0rmHgjvgIGGi0DIA7tXIxjv3IO
YMlc2ACGj4FqhbnAa76h/4QqAW0+AphWf6YRENlN5Mm0+eiy10LEZH7dF0BOF6GTlZFlliMnSG8k
VhhhXUAGGI/H8DWjPvaXy2OmVxDfVrcqxuNxVQ49PVB0rDmaLm3ob5quRC0/ZZXPF0I3621XYy9Q
WTmx6YpJ5aK+adWiPfUvWrwbo0MncXLhjWxuWVWO1yWwjQqS7kuhKcaNA7TzkF4hDqrz8IKRSH+e
RSw0pLpd1umDMP24ruhGRoeBb3B/gAcWL1uFyVWjUBDmrIPIuIntQamsUIownL8PMnA/7q7L2six
QM1qoLZOkNVjj96lej2NGqWUJxQK5C9g0i29da4L2LKPtYDlfFcfDW4QeEIDArq2irG7TMlv6BC8
ZUk64bWUVRxxi7mxNoLJKpDAou6Bnh3zuRQ1QQhXZ3yu/rEeXqLkNdQ4FcLNI/srgl2cGE3CVAoD
RIzy6GgjWLN42385SmiMAdBgVgZNgoSu/jR6v9Of/0WPGuyR6IABug7ngVniy88iz4I6pSlBbh1H
uWV0iPWgGRAIeaNSeeqj9n6OIqusBh6iYes+AeeNficoAzH7x3ygVM5AhSRKjd03xAryTzF3kbMJ
EWYMs6dR5NQbNsMD4hQovpfCm8ZeXyEfJwFzKnBPH9TBKEx2W7+SG2RR++Jn1VoTR96WtWNCCnw3
OsYqcKMuj5V2VdfIS2hMyVNVgL/3U9CPI88TbknBsAFQ8+DTh9tnpHQRHnyiDPtI6G1T21MwWpWM
FOKfA/BkIJz/ymHurlqa7RCnIrTBtgWx0P1mzk4FEtWMipyG7dalAqcLVmqAjQ7FPMYsRqEe1CSC
WSDdOGXGfJpSniffulVgpYJXWJ7LeFBefpupFxWkCjAFzG6HVq9RjKKPcQBaF7Terzu9re0WwKHj
bqEMDepwkzk5PDcqQc1NZCXu+IaHD2C+x3ZXuYo9H0vsUtMeA0939Wf0362psOoD5RQhNpVd/QDm
PAezTrNMX35ABsrp8UDpr5THuL1VZ19picmRyxM1wU8ypjOECD7S/so95277iQVuu8zT9sVX8NTc
Da9YIc4BZmw1nyEXtBmYW0KNiq37qrrS1VRAj6uprY/Zx46V+CMidrh/rERL8vPU5kJPFuNg48pa
JPNBZSyWGdIAqop2vyd+2DnaXY8BVpfYwrvmKw/JQboR7kSf18HdzLYXygfU9kxMrbANKUktp0hu
A4x27saT9IwSUuLEu8AHrmAHBvEKq7/q3XB8uW7Bm/dxJXX591XYnkjWVWaybH0f71JRtQKJM7Wy
GOD3A/2r1mLAKwGz0eNtHEJAfQLrXn9MftOX2DMxtfXzuiabIWB9gIs3XUmiVGvSWMEB5tiYetO+
0VPsCgBWeurOPLS79PW6vO2b91cxxs2EURj3LVgosH+vdjSiWgqoeLLh6bqUDQoZGXfgrxjGIPE+
LnXSQ0zr5DeqJdqV+4axJnEfPIrej8aPOWptDIddCmQ8iqKNcd9jD7YtfwHQm59n0ZYGq3trnrAb
S+apt5Xro8CId4XyZwst88ZU1IIkegXzAIK/fWt20jvgLGfjVj2oPPvYiqag9cNpLgk+HjGX9tEk
TWXOYPywUVl7kB97B0jH9pS8GfvoAXNo3dHw2h/Jjre/evNir+Uydon5PTkN0RK1yVfqRi/UiUcw
Q1rjA/DZqi3dKB+JYIlYKctbEbJpOzr4wxUwZQHyzkZCLY6rqMDaB7tLxMpvaIpitdpOkyNEibCP
igHqzxUaQaWs5vCrhpI8zpXYPBcDpsmCnIx+Ic/0XNalWLjXDVvZ8Avr38bYdTsbNQVvAvwC7W0J
xHOFMHjXRWyaMoq92DqFl92CaLz84pWYYLOioSOvmRXUAOVHUr0PUuSneW+XFOiC/FdZive9GnGq
FdvK/b9gdlk0zN1o4gkHHyTEG/TIoyTbcZTbNOe/yrGbWSINlb9lhN4eDuUJk7YovyBMis9Y1hj+
Ognn+Uf2W7RkXnN0y5+vztRc6uwrL9vORURKTcV+Ziq+tKXkh0Gzm3Vg4HQFq0Gr0DYq7a4plffr
+m6527VcxlFkcg3kj4gjzbGOPfushINePl8XsXmiCkbhCNaLEBABXqpGq2k09AAnmgNRgPqleqsB
Ty6+XZeyaRsrKYzhd7GgYOn78t3in0a573iQ+M2saRmrw+MEs4Tf5vZpgtXGcYisScZOY5DAVpZ+
I95VjvZVeea+80deZ2pTIzwxkdcvM2d/Kmcrk5g1ijS8QMTopRdhOKUi5x5vfnpQYmK4bJnqZbuh
NWYJwJ4Ehbq6APh4BEnTfT//c0JuPOaAzMUcJN50KKVdfv1hiOAJQc5iT81DMbjVdFennFfjpiIA
aeBdgsqFyBpYSIy2bwcEu2r68xa/CTAblAzNv7HjlRjGwow5x99dIniVgKEztfLAV7QXMec8PTav
y0oMc2BmJqI0v8TTafLz8pTq+05wUt4jYPmxbP64AFv+c2YK8/YYzJiCCwJSJN2ek5NYf2S6Y2ID
6egS3uLo7YCJZyNYt0AyK7MDuEKm9spQRa3d/TA6t+rd8WBQS95lh9gBpXhiGb0DdgOZ49u2r+xK
7nLUqxtEaA0amXqRexh2+q3wgPfcuejs9ty6rd2+d/51H7T56ZadjJimwhw3S3SsiJ02yiB6sxNy
imfVBrHkPql/pkLJ6SRvJuULDcZ/JLGfT0V7x0Acxueb7K70DO2olq9keo3oPqUFig37NrnPS6sJ
eUiX7bxrJZqprsk1GXSxg5Im1nRa5mv0SB5AvxFa1B9BDWCngh2dxSNWMunW9ePdtNmVZCZGYqUD
rgVNWzDjAV74kLcnuQM13k2enMaKN221hWfGSln4LhHQQmAAFq+zMh4xibBnpIKeje40ZxDzokl2
mN3pTt+VPlqOZ7m08lvp4bqOm/0QHfSE6PUACQoizUuxckGrVJ1hs63Tv8L3W8FjuH+PzqY/33FE
bZ7nX1GsESWDYYbBDA3Lt87VdtWN+pn+Ks7T7Vhbk6d46l3qiR/he2Rx6wFLWvHN/axEs0Y0DXLR
LVr2DrFMK99lR/2G+u/PgQ16cJ7hbNvsShxjOaQHAWr951A90yL+XW/H597Sbfkhs0JbP2Xn/JMH
ZF7SmmsqspnVQrBFMWGJqdvbWjim4l09WIIGPJB7/Ttuhr+lkolBVBCcsHtd8D5O8gTbE+zYxLi2
QqzB/Oyj/XUhm8nISgjjSlOtbjszgcMR1MAi4wO6lNcFbB3XgvrBwi9xGZ1jLAIUlHluhLjcM7o1
7RTZc5idi9G0Q7DjUr3mdCG2XPVaHGMRYStjVK+EuC4JrEwJva4+C6WX88ajN4t8a0GMGUj1mISx
hIMbPXmfFFblq9bojEewb9dHgOvUj+4o+INF70fe/eYd6fJNVx6sxOp3VNQhWtmpX8AIFNbspK7p
Krd1aZv3ipftwv3sBi7lvWZ4klnfadSt3OU4XdP4kUeHTH+aMoAf/I63gH7L9teny5il2Q3q0LYQ
pAKeWFGriHYSluRcN83NUGASA7NzC77j+xR4k3dGu+SwFXVDoQAQ5hhmr7Wyx9qXLjmKEdZCYTME
2ApOifQE1s4g4pT7tg50/QsWV776lCKIxvVhqWK2+W02PQJBYAHLgqarZSa83dJbZwo8D9zJ0vgx
2IqpLqb5bIxIDePpVhJ+Vrkn89qmPBGMZQp100vCImIqyD1NUADTAg+Erjbnwy1Og/XBa1UYO0x7
LPjFemIEU2w4zX50gltLblj8ltUzEMhONNm5eTv2nDRwI67CTEDaCM5IpBDsYNI8DhnybkgldWUR
8tmDSyjPLYU8jgEg4513XcsNV3YhjnFlfRFnGbBjeJiG9V1FqaO0iddjWBaPO86BbkSBC1GMM5vx
WjQGbXlp9blbt+khbDT3f9OGMY26F3R5aiGiz29n8jqRR2N+pP/iyQhFNE3GTm1MNLNDI9UALqhi
SQjG4REgHDXeUx4tzlaZbC2DHRMhQhvQtkRcnozMwaS0Y4a5hdnS9xY0/lJYucsS1zke/Sqe7q8f
4taL60I2E00nSRpNdYBsUXlLSndID1npF/HLXLlN9Byqfis/TtV+KB1FvJc1jsPc8FYX0hmLBL28
olTYNwoiaMWOxJ+1GVlphO0PhfhSlD3HYnjSWKPEIvQsXV5dnXlH5F9Kn9gGBRVtfgSik3Ouyy9n
HApqnkjdFAz5KyhrXPphGaTUvRFAM3VCulwJJxGt3aEN76okQps3eC8oAKcteUC369ZQ4oU27/pP
WFzWtV/ARIIiNwSTpNA2GYFMMoyBAOBWE1snFY8TaPNgV8oyTxFNBju4SKFsF6vHSAi9UlEPstlb
qZSBJujnv1EM4BNEWKyFYctRYjhHGSVQTK32yogVxAAt7q6L2FborwjGt2RxXwXCCBEEuNBRt0rs
d5rpKe13SfpyXdT2DQS9/X/VWb7jKmITKQKpAEHyNR3QOAvOxGvOxk90Yu5Aiq4eFD+750VVadM9
L1hsDbuoATBkbr1JxpT0MWS2T52bOFgW4gMGK4RWbKPN68q73Bnd3Cut6KDd4B9OsN2jfNfwQCob
RAeIfqsfwjiAKoVZDhl+iHqb2S/pEYwvuWZLrWOcMERlT/6P1CkrS3iiz/I+4qT2m+F3JZzxByIQ
v3Gt4itPmV8Ptigf28BWJDemD6VWcVzdVm54oSpjU8VYp+ZQLGfulQ4IDnZvINDv/cQxH8hD64Jj
btoFnDC8bVwGWHskYPuXVRiXxoXTrQZJzBC+NM1qMG5UaAseerawN/mcqVh4gqk8SQtdLQ7tjEjg
/k6dTv3CZB3nXbh5pVa/hPnSUUTGZu6XdxRmyIazYoKkVMGkdO0MvEVC21a1ksV82Ngo05JM0Fo5
0NMZXZn+Lrlrfe0JD6nU0izZjr3up+DcJ5jdvX6deWoyX1mUBuwHiCBa0IFa0DCH0qZODUr3pP8V
DQrPqDbatyAO/Pt9GedRJjQ21BLiJuF1jFSrq/a17ucBOK6UJ1O7A62GFVccHTfzSANrocCwh3YD
O/QozJLWFTWEBqBZnlCuN7TyHuwSpOCxYS8//1sMW0lafsnKN6pqBc4pBZJCNJ5iUFhgw4ioc9zA
thAwrWDFloHJFCZ6xUbTpqqYt/bQIhXGguekMbxIbJzrlvFdDEhBMEMJ8BXGouQ/AzIrXYIySMIg
A4BXxwYqADRnw62x0suKepXTGNgoDUIUxgyWRYioamuM/edkEGJdrtFIa7VzHP40s+4gid1OjFI3
SX/ramIL2L6sS92+EHkbQb/Hlj/kJ2AvAv0i5rqXG7LS0yAJKCUrCC+nxIsT9SHt53/cx7kUwaQ2
UjImYjEDuNtpqacD+i1mmVNEJcfONxLzSzmMZcgUX+kPQDjJTnL0PACpOWr3jeSk1UGLEjsT34SQ
R7X2/XYtQpdemwaeEaxHujw/WpnAszUtkJQd8Gt54NGk2+mFZAkGr1jAE8X45E7VpilUICoyNHcc
J0SFBcdu3gKFzqkxfY+1i1YYnDM0OKxv69QxiGX2oYpPJmR2nry01KN9YwX6c51/qgYvr9hW7K80
xm/UYdooyCrQ/ydnzaixoGRvRrGVqhzX8d3bX2rF2DoqCqKeTdBqCnOg4gcrLn+bYnMYo9de4C14
4ynFWH0RFZWUFVBKaN0YmzxS/bMNhtuGZ/aLVV863UulGKuXaNwue3LwsJ5i06nCIAV+uL1v9eEt
lIabbhqAL5+U+ZhpCSAH173kpnAw/qLjuGSnLK68R7lJJDmEq9jUI2AF4/glNHszj62ieczK3yGv
MLiRl0HdvxJZZzmrBP2ibgBI5QfIsA+Sq4A99KF0J48+VMiA4aF34pH3ZNroNFyKZRKFED0V1SgX
sS/AL0eO4AcgLRpelF/5jvoTWKQ7u/6N8K1ybuJmHIJrWSgLCPpGjH8BmDou0GhfBjHPJmmx69eZ
9JoT7Db6jlBvJYVxLcCCxzJpICWpdyqookNU0HQbaH5HBOt/WLjhtKsS04IXNfun6za0eVFWspnw
R3O9jzE5AGRgqxynDELE6oRlYbs61vzrojYdwEoU8xVzALSTMoQoKgw7IZ930gSAbm7YhZZZsPHn
6+J4327591VsHcug7DIKccR8L8l9gd2k3MEB3ukxvlPNzKmOpuX0auzcKu/z1g/1gzFzLvqmKliq
AjpoTEJ+K5CAPLeNwDYF10mPmeDU5VfEG6Pejt/L9IO0JHffeCsqFIpzQ0IqoravxEBvfyjx3Jjf
Z6E5q6bk9nP5Rgnq8LwNCZvRbiWYcdUxoH60WKJdLHuNWdnFDEfSgvABibmGMluiqRxmqE1DXElk
nDYGBYF3M5b4KpboG0m6lxjvY9Dfk0qwc0Xk4AoWu/4WI/6K+zabQ8Uo6pcAm7SCXXYhdv3MvLVV
PBmMo6I1JrNzjITZCr4a0tnAEieRBznZtPaVIoyfwiNRVbpl7KzrSifuRdUOJMOddYKcAWstrl/f
DZwJvCJAArqx0CADF3l5f6umIpM04dgwCVHMu7i4S4L3oDkp4VMrK9g1/Cqp+y65K6N9E71zhC/n
9f2b/RXOXGywKhU07iBcyTCvelSkc6i9qomPfSdZ9hhVJ6ICX8OJNpvxfJmPUNDlQDrEaDxXJTY1
xhCK9Tx4oZId5vadQZLcUgWzPrbolHpiizkXN7Cp7Eouo+zYRMaoLcnSHJ/mKcarH7zPgTG5Y/Gi
N7lNphcadXZhvKig3vg3J70SzqSFXZPJ+ryk8C02nQnKuaA3uvo1JRgo0A+dvqsCJ6z9QL+/LnfT
lldiGa8jhHNoRj3ECpLbJMZ9hbl6Nag8or9cF7Tpu1eCGGeDmZ+hBsc03g16tJ/wAjIE6impyQkR
HH3+uPdVtEtaNRlLdREzmoFVDeNrJM8Y9UWv7P9I+7LtuHEs21+ple+s5gBOvTr7gVMMmkKWLNl+
4dJkDgAJEhwA8OvvpruqUgrHVdzq++JMrZACBAEcnGGfvadzIIzTMfNfc/r1+bvBSkqKjvYYrLZ/
Wl2qQLhQ7HI0uPdGCHKGzJwyNUQzzsjn7/K0I7g22ZgrhAhivx9tAm+AVfILeLwjYB/FnMdUFQmp
jU3gNBBT41uboQ1/Fjti1inBizYW/46BBJ6FD9p565ppd+aJTp+dv57oyCZ2ogEDt5gRACCtA0LW
+WZmcduXexcKXr6zMQYIJI9pWJxxpn4Vun6zUO9exZHjBnFn4rYBXsXSfxeFsxk9wPSVd+NpEvPG
TztkqK36dmz0fg4UKKjMnVs2IHS8AzMHaP/z+957lsH3tSvcnGxsk3I/+7SOADrfjNx6G5hIiwLE
EdyCxu/Q1hFEpGLZ+18+f4Unb+N3EzlyC9EfScEPiImwGd1Lu6J+6W0rImZSKH1mtU4b2L8W68jA
ihzyUvkaMPX2xWjfDbnamN2tNd4QxBSGH9n+/edzO334/xrwyLIWwmQekdgdHckjHPrtYIJBQ6n0
82H+Lwfyr3GOjWhLIPGEiviKZAj8tA/igkPn3oyl2FEaN9OUzEuE8sHmzMDrLvu4C6E0DDqYFfLq
ryyLHw9kF0ICyjbhAHfV5ZCjBYzsPex4hC9T/UyRi1F1PLeXqkkE2nlzeca4nghIMf7aJwPmsxM8
s4YH+mBnjQyLHinkAUmZjJoXBLxaeR9Ap17HPj+gF19AqnsZUNRzElbemLrNPn8Rv2/ij89xdJ1A
ThgURz2eoxyXLkNGQEa1Ks2EtOImB89O1Nq+PjPm75sLY0J6Cwkm0HqjMvXx3cvFRqvOyic8hdeM
bIv+np5j7lwf+7flXcGhLvr8VmXHj0PMy2AFoMpBbgilED0XG2Dn0ykAKY9V2kmYXw4l0OGfv8pT
0wLDNRr/QT8N/uCjLWUA/2FKgmkpfe2Br6PRGaiGPh/jd3cZN8i7MY7OpfLCwi7WtltA4gID26Zm
/5+zOHpzle5ZrtbFacp4RmJZX/fs2+eTWB/yeHHeT+Joz03IDISGgSH8FjKLU8Ty1Csux+EMSurc
MEcOjFzxOOsxi1V/5ahXLh/z5jZwzuThT69ICIoJaLzhcj8apdGeLDTDiky2jMYio+OZJT89jX8N
cKxakFc6gDQ2Buj0nRCbxn8o8zt7PicY9fsVg51le2iyRl8OeN2ODmXhVxAUWN9WPhcOj6AxB8O7
dLn76tVT+1i4Bn1dSDfeL3mNGtTAaH4mijhRsMYjgOLfRK6A+L/1lC+1Zwd6AVJKgJG+3+S74odb
RIMbN7uUPbhxG3vXF8urc+cn8lsQIZONfleQwX2+O0+UU9fHIAGUG9b74ZhE3ulBAgcxQhQWWWLv
VVL98L5PGUTbo+aS8qhNw3vj3+/u+Tim/dFeBcZMyj4EuALXkTff2+dkIU7apndzOlpdMRo1uLLw
/aVzKbqtF34N6+Tz93ZuiPWgvPOtmyqUBgkwhBdcG+6uCGhEzokwnzwLUFOE+o6zJnyODtscVOBp
qzFG0wu0BD8hvFQc9FRB9vlcTo0DEhe0KUHaaz0UH+di0klhl6917BkC8sFC5zuWB6WMp2CynxUt
OT+z607dw0jVQjUJipHgfT56e0gnUGcUALqFDJTf08/CQ9MSx67358gl6vHz+Z0yWsT+H45710N7
wcf5oYjTS2eVDiCKb5rAQ9Rzrqp7ckI2rmBwG2LjHbeF+mB3dRoPN7Blq6T1UvACRgISBc4LGe8+
n82vZT++UDw04oGkF2wovy/X0NWMDePadBxux2/2lZMoSBF/k9cU4NvIfoEgeLZce9HX9sq70Qd9
8x1EH9tw60fghAatxOfPc+rtvn+co8PcS8h+lh0eZ11ElaMBRz98PsIJSgwwb76b8dF5rnjj2PmI
IZzMvc6v+MY8jIm/9a+b/fTdSOZ9d+VFbAN2v21zCbHffPv5A5w6IO/HP9quoz30qOFg/JUtj7HL
oLrOuZFwBFr//kAg4sRmxbEAIefRTm1rIk2+djDbRRkD+NCY0QB4R0N2n49z0nq5GICEK0jAPzrx
yu8bPSw+ssjlj2AGu2HOIu3dfj7IqTOBYvm/BjnaGF7pG/24DkJgVKrDIu/Y/IBIJJqACf58qFN7
8P1QRxuEF7nFFoKhgvzSC1naTs2ZlVnf/PGhez/C0RbIIZLTGTNGkORbU21VdQNf0eq+DiDwqL9x
eQYOcMqjh0Fe29zgZtnHio+jGgSvXXCGMH7fOjQybCcS5WvZvRD/R9We2Q4nX9+70Y4nl4dMIieE
+rzeohHa6M5k8k++PMj0wjiiOILW2o8GmIKsQBYzzL07P47FpWNe0w75lvC7D4Sujnv58vl2OLm9
37lW6+fvLud2NnUTrK5VPZO0R+IbJjMFjeKZe/PcMKvZeDeM8JuwkR2GYe4ODJ3QHYWneC7OOrU2
7y/no1O09E5hFA0wdq18nLu9GX79/F2dsm3vv//o6CzU6pp57dGxhm03/5TQCw/1Zm7OlT5OWQO0
N+HaQh5g5ab7+LK0ZdUmGLzBgqMSS5aRa29ncxfIAQHRGXN9al3eD3W0nY2yBfFej3XpHKQ3F5o4
5WMfVMnnL+7cKOvn71bfmL0RvMUYJTD3jQX9d/rooT/mfzMI2NbAbAXe7mPd6WWyQ28M16nYr3kf
+8SOx/Jcj8/JLYDuuX8OchShigLIKnDPoOllZNHiVIlnA1hCraic7j+fzsmR/FUjYy2ReuGRIbA7
ZLtrC56mD5wkyW9qtc3NFO3Pnw9zokq6co+hfQfxnefD0fy4Norqyq5Qr4hnn8S96z/UxI+Iswjg
F4doQZZJN+4GpcvMG4xvnw9+6sC+H/to9wV6dLjMUQW22yWeXHFYQutMFH7KnoK/Cj1ZBDl2/9jb
LMqlbLFfVoxOAZMztXNChsJOQKoMGBx3/d0ocprYgXhsiZzOFEpPbXxEi9gwDnxqxCYfX+7s27m/
VLgt/BqeQ8Fj2QWXeTCeCZBP7ZWVzY2gGQvE4cfkCRMzQFqq4FJ7eWoz9KrOPBkhuRf22ecLdnI+
fw0UmB/n02suy2713R1zsGRkiXy8Q++UNJHkaHAiPh/t9N58N9yR74UUPV+1lTAvkPbQyoxYDeov
hUseXKhRXUFLOiwTX91M3XLOTzrlViARuWpQWEgV+kdL57RWbimgQ+MceVgSfuk6EL5O/WVJ7YRY
ryPYAD+f7Smr/z7QOxrQDydFxna1+q4Ek8xYFnHhVu3W7u1DPaN62p85fSdQOmusANJ/f2W0xZX7
cTVrBvzhIGd0/ziAMuKkU92CapPsKw/kcg3ctWmsI7sy0569AROSmHw6h3c8ucYgncczIEuGvMqR
nWO5tfTkFxkCnfY5OqwaL4hqMWWTrSMFtuFZH+qySazy9fP3fWovvx/4yJSjGN8jxYNsjipakG9v
W6OPRnXGXTx1MsGF6FoQw0SLzG/sAB0YAj0PLoPhb5Z8Y9abwHt2l3Mrue6NY5cbqALI80LzxkMv
4ceVpJMkZFp5Hqzi4KFbhWszrijbztawA+p+W7n6zuu+UwvKIwUEJXtrb7fnGipOzhWgdvR0BCbw
q6spfn/LG7a9UuquSGooV3tpzYuoESk4Cz9fuFMnE5zY/xznOO+pWnOAUksLl7WtvzhVnfZW92PJ
zWS2C3CpvurqHFzv1CUCmD3kqtCrCVTu0czI0rDZUh0g75VTJ7gcm63giANrlR8ch18pCaUAmxt5
DCJF/m+jTIEZR7MTsp8mwqpjQ6RVM9RCc0T07nMtD3PztshYDRlIp//99xo4YHBFQ+8KtDyaZWUp
o6A2QncveOyGXV1/H6oX2n2fzJf8y+dDnSjvYVKE2BA3BQ8p/vtxr9SynTTMHN4oUsrTnGnUtGRm
lTeWC8GfLEBzf2c/2udC05Mp3PfjHnkcilLHMOdhbXjMXlV8a2wHkQU/vhgPgUirIRUPZ6zMKase
uD6ab1Y9ThT0Pk7UWxiqMfYE15ctceBeEpCCWU9m/bVUZ/bJqeP3fqQje8ZcyYNqHQl+XhTaUWc+
SRqT/IxDdQLFhKV7N6OjbVIo31HBOk47AilrbeeIRe3euR2RkU/6Q5/H7v3nu+XMzH5dIe8MSy7r
f7zDChmRMb8R/JFDIiBszu3Kk4uFkMty3cAGk/GRv7EMPp8JVysTghdDzO8+4zFxouDG+lHcLXG9
6Q8dgsto+f75BE9dRchO/mtc++MmGRkkGnggsSuH5wJSC8VVEWafD2Gv33F8Rbwf4+jEzSZzODUw
xpxBp8l+6Pd5onbBbkjyO35vyQTESjGES5LiicUXAM3H/5uw9v0THJ09VvuGYzC83cW2D3Qxs65Z
Yg+AjiU4zL3Y/Zrwf7yo/yze+OF/pjb893/h5xfeaVEVgBx9/PG/b7q39m8H9vTyNvzX+of/+sWj
39u88eun5vdf+vA3+PJ/DJ48jU8ffkjbsRr17fQm9Je3YWLjr+/HY66/+f/64d/efn3Lve7e/vzj
hU/tuH5bUfH2j398tHv9848Ab+0/3n/9Pz5bn//PPzLx1L68Hf/+29Mw/vlH+HeUvMFuC459YLPB
TwcDId/WTwz37zDC2PHoFgJtM25WbI6WA8T15x+u9ff1Nl+1gSwX+VYf+2qAm4ePiPV3JNV/qSmC
vBoSBN4f/3ywD8vz13L9DcnEA6/acfjzj4+HfOVvhriCCdFwD2h8Ai6lj2eA9m4ONEtrRl7ZK7pF
T+zyANXmcN+KZrikdDLPqbD/NiK47GzEfkgVrInX4wgbsMNuHPgA+9UKbP7SRb/9IqVlxujWFF3m
2tVyJs97dP9gXsAhrz1zK/rgRFTBexfwe1SR0Em0oN+3nnWTRwNqSk602IsPX7SDvo7v5XXKKlZ8
mwgHZwjadH4qR7Bnib5yHheOox7DEeSaZ4zER/u3Ph2CHWiNIM8N2RG0+H1cA3AteflYOCDw5RoB
1dwOnk7yZfBuXIsbFbIBMkhal+spebdL/7EZ3i/+0aWCkaF7hD0EnOivTlXvyDZAAwhaRwI5IT27
Bo85uug2BVuzEB0vJwjKchOZ8Mqzxc1UdMK66KsJyGqU19FoI4reQytiP1Xsi4uUydnC70f7/Ovp
0I9iEfQ7gnjht+Y9oghvpIfSXpdzhVYsUPgeBJRwIy4okDCibyp/awgjaBPXE9rb2H7Jf/KV/Q3d
/gZUQtyxum2mlhpX5VAVRqI9AyTMZ14izvEHIw8YyS86EbRUo1YPXcpjYHYTVF6oXLyM2s3dXVXk
IsVs6gtKmbn1TfHKWb2kiHfFQ1lI8ty3dSEiwvzxRgQtuwRXtPvdG0swEljo0Lo1cNlDDJpRO5oC
0Xu7Hm1c35zK6Mukq0pLJ8PsWk+TCDXccQmgYEg1LTd9AbYFdFMa43KQOmTqloSV9bzk3CPbzs4n
OM8d2MXpYantFiLaIXec2zpsFjt1QApUASTDgxr3VFXyEHFZIRTuLcta6kPpyUptCr8Ffi8vgH9I
Rhg3JHfm0fPHO1+4HeDbuQqefWMyWSIqEBzvkCMZs1m7TbtBX0CN8t8IYssIxG6dBAEf9pyxjFzs
xNQN9o2GTqveLehbAOycg2YkYsIF8MvzZ0PA4Ev1VPil10RLG+IweKVFqkvEHYuMnIXSFAYH37h0
kOuNZnMmkPzqGvtWDBoCMeg3beLaH6orsvhEXEHGk4NQ3VT411DMLmKDeoUE4I1SGpnogC2TkS95
v+lDBS+LLzaHXC06+NVGG6b5XHhujlS0veAXC7eZYsY69ByDH7Lfd3lhkWxc2pLdw+8dLoJBOkYk
IVimbybTcevI4j17sHwyBKAeCYNXphdfRq5wyhgy8krFTbj4z6YW8L78DjJMUUGYOnhkhJ1G3OVe
GPOomogZUIOPTGgWgdKYB+ZLIKBMlNVhmF8FYDfOPN1phITF7JDUANQzGXgIZoVJjqB61MW0I1B9
wh60J8D8RmgJRnk9lbcLWoRfKy6lEekKWmHL0KKbvbGsW3RxjGKf11SOQIZCLP1+IjOiTuHwMsya
MgCrctj2Bxd6lCLq7bF9NGBZ5m3ulN5d53Zc7VwInjdR3RTyNqCk0tGsCuRzLYhaumkLWZ9d73bd
xqCjtXcYeKoaqF1ESF/Tp2Ukhv3SQYQwG0xav+oaLcvgbqMwVcLRykrdqe3TCg1mF3rxLmQ3Lq+g
fDejHkD8jVPZ84vL7frKFLV5748m/CGEZy2eYVHjdpTCuR5zt9kV3jQ8umJyElDUFxGrrCbhipRx
OYw8c8cZ89cKHI+MBUVaDGXfRNSAkFgIaeU6aoETqNFHMVqZakbUvYeghh2Xg/WyFAH6fMYqtx+t
toQimUVb6cR8rsVWuO40oUnTCTLL9N/WHP69UZPwZ2/0gCGO+PswHqBEd887pJiBDPKrvSWUEWsa
+AAKOh2kfIburiaGZlE/tvUj5SZNKhHMRSp724eZwXIjVtG0MFOzCN2oQVsAxT2sl72vJ/eOLLX7
XCnd3ghlq9jr+zwqptbfgXORX3LueQZCHZdfdK4Nq8J7z5ljPtJ6zLy6dUXGJtJlureMNx6E4qr3
1ZJOkHhTccvzci8JiP+jgE/0Jx8WMGDkDlhUdWnMYUSlQQ9KFEG4UT53k6ESyxeTdhX05QICoeWh
jlU9GOUVqIim8IL1BhTZZ2bN0TQqLx5sE/kPWQ1h3Jq4uUxzuaGh4eNWG0f5rXN8bNbcK5wreyj9
bJggYRaA3AQ8IxQyI0Y+DunsjvYtLRYQ0A+Ds/WHgMRk4u5DH3a8AvlWFVZRyY0lC4U9W+A2t3kG
OrdgW5eFT2Okhqq9nnq9MXvmjpe8YGTntKbe1CW3u6g1ZmA8wQB3h5ufPQde5VzVlpizplF5fjta
iywTJwzEHPWL3X9pIL4stsYyTbfa8UozNqE8feHOYUAv5rEt01mr5WC0CuhqU1YLJNoYbFk59Ghp
HpYfTjGQKWo58bIl9Nfbp+AkuKUTb4zbBju921UyXMItLmQj3804Ck0iB1VmPXYszjYl14Nv0ziU
nkxnICuT2iuN2KY1WkYHF+23zD3MgdwRJ7jnUP0GcYvWmTTGjU3tTe9bLw1bvnRm+AZpyC8WD1OP
2tBOK27EIjOyVIfKGMnOFUN/Q8BjCrlwKKhGzlTAppbWHeu8q9Eyq2yoAMFRTO5V0+P/qNPEvd86
qNZIK7Vwmr/mMlRZb7te1nZhvZ31YCVAMTloaV38xCiq+i3vrBLA/qLfYA/6KfXk+DyDFulixhA+
bh/upQLwpgi4tP6B1wKJrtE0tqVekAQyRYBWQ9cZ22ovXA3RGLRNdRdTbc1A1UDWLhbcnhiQ2tNT
3S+ZhexZdQV18EkmllGamV9JAe0SvNC8eDJchdaKIA+Mu64qigz2uSx2Ve05cLWchrnbPC/M4EoG
1A3S0C2He27CqNo1CDcySZtULv2Uf2mBlEtI4eTADJdFF4OQOS/2DYD58HVH9xL8Okvmj5UaNnA1
ZBwK5ZbQSJLqmso6lFEAxj5xCQ1IlaIra+likAzVcxL2cz+kpkXmrRUI97r3erjv2iGdH3PeeGWs
la9NJM+X5Uud453DDKLyFZOycb/3k1+Gqd2UII3szcWKalbYc4YSnPcVZ7a/rNFgJtGqFPgKffCt
l9S66Q4LDFBWO4Zu03ko2GsAUsj1HfmpFqAAT5xOA23W86q+9+Hbh9Eom4HEGiAnexMA+nbrG9C/
YXVIf3ZWYXztp66aUsqATRjKoijShVCIxPuoc4RIwH1VnhN8K23STPueh12LLruKgKm3cnLcHLOW
m9Lk/Za0c5uouQiTturFDTpJwCmF24TdgPpJfUdBpvtCalfsoeMZ3II2s70CDREkoOth71P0f3GH
FQ+2lk00lfZo/Vix2RdQmA9BKs8sNB87/tcCQnApcp3TC96s+320cvMCC4cdg+nlAmKZAIrHFXPF
o4e2CjRaqcVJtTGxRLfiWdlcpQtiuZg6U7cdbCp0RLsGvE0h1DlTRgxHbqeCWT9AsgkaLLDk7K2e
+x160fCcVDptm1ECDRhBOQDvHA3Z2lFq7zXDvJl6SRPZ8TnNZVc91j48v6Xzgr3ZFD24rjqFlYR6
KlhqDXeCc2VReTl7zkVV1PO+yYUHKVZQ4+Sm9J+1OYERrMNxm/Jplzt1sSHBot0Utktec8u5kJrx
LxMSbQuqic68k0oVaW90wUG6IxpJS7e9aEarv9Z+ByxZ16ByiwJqmFHJ2zS3PMSXptoZeqY/EJqW
8RBKdRvi1tgAqW7kqd+Q5aaEKGhkdrWMetdBRISYsX9tbZJfonRuXQhgAb+CecPa1pr0+yYcyytb
clCLmfSiqIcbf8nby05Ppp0gANgXvrFra0G/eTmXT5AO5F8nODsbxrxbSKtu4MTpCIqkw4YYZh8F
/swuxYSCaWc2kKBFYSNDuWC6WozGT9zFrnGhMZlx1rgZE+GY1qaBgLFvuntHIkbngcM2utVdbAdg
zKgqam2k7i591lloGhqn65D6bSy9prywfQapaJRhIgjbDjcOpflOelBWdiapL/TQjftulsY9XC4r
EW5rXMwSBd0oxHJj3XtRJ31Z+okWxH7QRQ/wlNMtF7Jtkc6a3OeyQ+GIgNw0lWEzpw2t5g3Nnbee
CB5mE12atMpJftEbSx2V5RBGbantG6PRyIiVQ3vVtKancENVfqpKB960Bv/9MlGZBX45XujO92Jl
gIGd+oabdMakLxrSDvflQn+GMhheGxnSpIBGOo9KuwgivwIYHL0U+aYrarZh5mjA3S/bMAEJ8GUD
tjSd8zyD791eEG/hMMwjjUZAj39QB6yQRdcVsDvDcO0r14g446jRm14F+G4tIq+F55EviNRnr8YS
V3QzELrcgpbUvvdJWUM/dm4zIJhKuCDgGrma6mGJ2kks8VD32AfQgM5M2N2XEJ7hmy8YdGlRRMrM
PLd3zZAbV8Cr0I0eSPA1JDlipxFCshcG66a0nNkDoESwua7bRDlrq3gObfFo8TEByWG9HyF6O0fS
8RBaQW1ZRKw3Qe0QyuISGsLu6hWbadWr5TLvPCh3jMUd1gQMDE7lJDnERbMplA/QzQUmQSu2U9o8
DMRaUsfAJQ3+IZ2xxt+UumpTpxqblesKW2T2uE5M24J5afSctbKCOaIIYyzcLfdVVTlbA67ULoB/
gYCudV6YZzZZM8kvzti5euVEKR/NyoD6drVkhh28oZPP3mO1rTTA1bILq2oTdpNORT9ea6bkBWwB
QjdpNHfw15YtJSiJlbaNu1RVl/bkah21DQmaOA/9KQ17BhyRwVlkhrjeCxzvLVJfeQbn+HvjyxK6
0aHz2NR+eNVrEOG7vERzZ7tMmS8n2BEaPg9hcGfP4HED0xAk5Ttrii2L8cyz9dbAAYpatKBcKhrU
ry1j8lE2AV6BKhSSwFJEjl7aA6tZ08TSp/5drrsum0cf4CavMeHUuGW+dZflW+WWSzYQZ0Iw5k7o
TSyKBlz9HYsXsL9MUAZABTlCf9bIIzpCernsF+gdEx9RE4HiNlahgPNhsvY5H/kjUyp47fVYX+AP
mxt/mEpvl/eTe4WOzBratkKQb8XE0YU18/naYK5+ooYlDtLq0JGZS91vUXZ9Ip3prZUr0V3Nnkee
GDG7w6pbve8JenCF3ToHMjQkNjnCC2lV5i0CSnefB7TddO3U7R2LdOgwM0pr1wpQJhltIK/GSqhb
XjJx3QPGfjU2EuWqyXDuxkYZSG0Q+UOQ2Xpu5NgkpjFO4LtoJfUjOlC9DWlLIdGMutDO9fwB/yAS
GACxTnu4dV87YKFfc4MsaQgxmVcHO3wj3UBlAgLKQOJBsviiyVtgAQ3olCiGICgNc9rDKhBijYmJ
SjBI15Wq+kgMjfMVNXY5pTl34XQuY/jIFwZ5b78x3TdAClGymfK+vx06Vj84C0ZK6m6ebnPf0Hsl
gCdnlIqXvFfhlgIo9I1zyfdF674aFWv3RAPHYkCM8R5uO/CpbnXZ14hoI89ZbiVYrx5LD65s2alp
a5pm+UxJQN+6roN9sz24WWLccAZ6nLlZwstRtPCRRtrdB3Mf3Jq+aNMam2Yb1qaZyBpCAaqr57id
RnvDdWF8sSW4r3VXJsSdbiduWy9sUEXsNFxe0Vl+h/48c3BhmaMZcWV0z6FJZhMY/ULEnPJiTBAl
uVBYrFS+bSaj+6aE2ycSVZGLwqvpuL7wLprM4qqxQObvMaOF7Ftde3unVdKJVNMgkQMvlmR5wLDf
RzUVcQhZ1u2ohc6/dAxin9vZCUcjW4RSm87W3psvvQUlallfob3prnFyxV/KUZGZRbPtttZtAcYS
jazO0N7MlLl5Kt1eWrESprW3JgHBUH8CpW4qYFhIWlhUlQ89sk/A33id+WyFnaeznMnpRwjHi2az
6MNNPk5o/6T+Yl94SEjfzlQgvRToBrkzTYiBAmHR2QRt8b6uabV1hF+UGTJ48I4bzbzgwu3nXMa2
oDrYhm0ejrt2QcLlsrMLpNJQ7J7RYtu7dp0IyzKSegwQZYHOsdjg5tNg7JHhdIA5belTD4FLpLmp
V9XRumndb7JEKHRd0pl5P5GBo53Ac0DQDfFrPcJ4RgYjU545DVzuCKzynXVDPJY7MCzzUGc1vJbX
2XKaexsBQeiC4uxLiKs6v/CJZA9jI9gDoqeewbVryI8FIIxpU7WBu1ybM7erTeV2ZQpxc3I94ZQh
PK9tt0xARls1KRiOlquCazXsGuQSNTIX+XAQdp63ex+Fzx6C7TY06UkLBD3rDB2FQbm6m5ypdtMG
ZQVXcy5uSzf3Ua+ckCPG1qpA/N22HfsZTsi5JiDn8dyvVuiPbMMrAZteWoBupYXdIXOI0uQICl4p
ZQ7Fe+Lwa8tUIASlvvCQhkdikm6d3kMFQQB0weN2AUHwZmhC1E+WoVeHeZlxvL3CI/OXsrJH+0YN
A34dLYolcD5I5d3nHbZnZgEAvEToN5UipctooTpXlGSO/VwgjVfOAs5Eq40lAqOVZ2a8WLMjtW2o
K68e/CUuLH96RMFDbmdaMveLx40QMFXX6IFXyD2BewPH6s5tneAKXnl5VRQoQMTOpJoy4RVKT/GA
DQG4CrxPP64LiqK1P5F6iayAloB8yRpZ9Dls2jxaLLpMCUqIVReP8MCSkFfSvwUOk/gtkPmVt3Mg
SI+kRufIQ+EWBt5MC/xW4y2gWwcOxxxgVlCMAL9Hq+7rkvjwkhePgJhl1rhAZlIpb7dAO3lMckDa
klLx7rUkwmriCQH3dyny8jA4Tvs6+mx68MD4iBx4N9xAHssaIpv7rIrcReVR3TZKbiYnd8nW9XIg
cUrmqWDHwWxSJqUgXEazdIfLoWfAj8KtOgCVoV20FrXswYH//qhttVyH3A+buOu70MGFyt2vLohQ
WCxChQ5JOMv+09LLMDOQKcctrdrAi4LOn5vHamxBlhA0g1/9nMMZKXur9Ce6HSSBy4/8c9tkSMMM
4WWB+3YTuqLsoirItcrw5M7TPIfuCAmzPMCO126VTsrH7nOoLfdCLdU3e+HiPiic8doStNggz4At
g84pP0hG+I/FdhzdhV4smpoy5l1RBQl3ioYlFWlwlOsFvSqbRplwrAzDsg9u7zcOKJtaJqIR/IZs
Z9hVO8XG3Pu4uPNC5YmPbLyOS6sJL1Q7IFUfaAOGbaQDi5ke3T0kZ5xmb3rwElPEatjcsoa/n3ju
ZP6o3NXtrP4Pe+e1K7exresXWjSYi3XLZuc5e+Yg3RCaCsw5Fevp99cyzl6yzt421uUBzo1hwJaa
3awwxp+GWS1P7pjWziZtJnaFSePOnpsq47gSk+qESykoKdaYn7LJUslqGTOfSGx/oFyNVV8ddF8V
lyEYpX3nQKDaABIWpVW7+lWJ2MvlK/TsynmDF4I20P653s0gSb+rIrf9rUubR/Qq3tGonWE5g8Fq
ko1ixtbnwVucgcAL32rCeBjLJ/Dc4EvWjcXn1e5Stc9bp3y1KTpbNmvhvGoTLCCcamUCrouqAF1U
813A9stpCYRi4k8xLNEgAVeOZrbUNNaDwROKyi78bdoQgxMST5mTO+4k5sXta+8jngGeq7Fjg07J
yKtLLWWme7EQOBpmM2U3nygrI3LcuAbpXp12VwQN1WveGdUNHObaRtJ13YsrO77aVJrmnoxNA34z
NvytiZDaibKuNbDvzFY8Hk3bHpZ9bTUOIQaeZmjCQBQVPv96JrOmWYja21RzuxCYxtdZME/pUmyn
yu7uaik587iEpwicQ8U7GpyqvpnyZbkZXB3QJ4pR6HffrZqvK4K9IeIat9ezR3+kHoa0TihPq8Xu
mD+m1yXqg6Z7WUbRNpuuauA5ViMP5sefLNZaWVV1NHWGNKSGBPtohkVe5jzo191AmH5N924nsLay
TZ6KnFC7w/Xw3PpsNhEa6SRfC3cVGf1oMD7KDNzkGPRL3WwzmXwfpJ1tnCahpmsyVx7TGbgo1GMw
vnperBWxAz05KE1ReeDcHVddWHfuchN3tmx37VDLvWeQPR6OoPz1YR5sbobUL5MmTOr6JrbsOj4X
gaz8b5PA7H6fy7FLLr0/snm9SunxxlTIMcIRoMQ+D4XI9aGZR6hE+menPHpyjHXU9UY78IKq/kff
EIMJfWYUr63Tmet5UYUdf7K1rzsZ2iouj85g9eMXMzML/WqTw0MTwHgokvaKWYptAEbRPblxvqbc
gsW2tUY5bfwmSN0IBCjDJTiA+8xxx50BiZLh5uNXor1c2gmFfCW4KT5cnWZah2rpq+keVD4fHqou
s1/0pBuxZfqoo3ZmMyQeIxK9ybubDKOkmkuYLTab56K27McpqYtdDzT4JspCf00yM771dGPR/nre
GQmKfmNkakaFPQyPItHNoV0DL/QSHzZn9INDQbl019lZH9mtZbYRM+bFDcUcn2S35hTByoon1/HH
r0UlEpaPzAS5rGl3D49dfrfafv4x6ERl7Ko1jnQ5d49Z3ubyvExVcPbbjsRko1jIYDRsKTdLQmiU
MFV2GMgVG205ZlGRavFZuTL+NJhCvhiUvpEYWQqiSLsoNxLve5VVATO5HGHfzms+HsVcm3epi1jv
kKJdsE9LzGjisGyI3soIrT5wGHgH2qq+DYFKmo8WFTgH+LQYareaTs091KVfHO3mBxQ+IADBIs++
46qTh3pj41uGPK1pBXOoCnFJZWtv/XUcg42qNOp7V3muARESW/uqTPVTmhm+CY9Vm26YIFO5DbSr
DiUI4Rd7HNIN0zSKO3ZQa0QiLSkqRTpMXxdHluCGUFGQ3nN+MyLItzcFMEoHLZ3VMkzodHez7GSx
bUSV3mnwVlLP2wFqlYzCOnStdk5Cu4urJ+2V6Q+4bA47a6ZjSyvTzDdAyq2z6avU3qRzOi7h6hbk
RmZ5fVpGPDRRV2Rp2JUTxkuWMq6qLD6uckErGgTTJ19bZcT0+v7G1jo5Wk0JOWbFb9jNa+4eLzZy
5HtN4211vvRv62L9CDI3v7TT/CI8a+UqbIrtCqJ1A3/KBK42LRRpvn322IyLF4k+mPC3XjNK+njw
TqNCJOE7xvScrm7wZS2X5sZCYnEPmMrC10tX70yvNyPldawNyQiisI/RvWx4NMkoisaOj6UwXQf3
PxNihd/6TSQrs0s/KmcwThBvm2Du235j5Fm/T/UyjOgjjClygyX3w4XumEgj78lUQXWDkqQJYawD
EXKeugeb3wy2mkb/3p1W0mdbRIy3Om7lkQa5fIVxqKKxmGxAthqTtRcHmbNxFynPeT01n5mVzC22
rGnzsrSBuGQ6Xz/JtrO3MoBkygHo32rLWEB0R67UrOkBLJzCzNLdtABkhX1Vnj2Dm3ytiUHfJaZN
QqDR/jCEPR+8uh0Zi4xEaPOvdLFWXnWch9qQ4KKTOxIV2mdiJaq0p2ZL4uaUZ4BSg52TpR4s9fbv
1R1/1eYg7Qgc/ObXEHdsqAzwuqqZfhFB/hynV7cpZ27ecVIj5PXOOp7mr4tnw7eZlbjLF5vK8u8/
9q8iqZ8fi20GJzj2cyo377ePradMeXodIbRrQwRhVa5uHJVg3hypzJjIQlHPwT98pmVe5T7/Fivy
qRLFM25+Aa9jCgYo//ZlB1+OVQn7PM7uFc3MGxMeyuTwClEQjf0uVcv0rOIREteipkYMEZCplwKk
hXPhawL1V9/8WMuBMRSjkZk0r2JQ7Ztnj55x9A0Q8xJgJm+8D+hmaujWc/MfVVGuOeR3gErFM2vq
gzW3xq9CYjDdkZcsLW5mWVcHr2zqhxxYw9h0pXYus9VOLwFd7kLoNmXtQ9OT8LMndbsdD+lUzdN2
zJd13RZLLLrIGj3ouZzGqPuQq3tVkBhtwSnKpgMqIxX6WWYTDCpTuYyjGa+FAau0dO1G+LM+ek7t
PyonL9la9Aofi1q461LF0MyU0mrnGBSXmy5xHTdi+DuzWsH/4gEMjlCDqE+RmR+DzJzTaB3q9eiX
Jj2bwsTA6dl37ckq/A7ehP76DcliV0et1xjfqzrIqDWUElgZ3CL75Je17e2zfA7GrRtb69cyUJm5
MXo1dWExq8Hc5rNCGNCl2o/GFiSaRrPBgG+AjhkEeDn4tstqbAu6mQLgWIq+P0tdcM0EeslLFEQ9
gpdEEHUatXgp6MeMrN4nSOKdsPEdpyJMcySHCV9SCSxgFXhLbWQzXriWU39yrdKUu06t+tjK1VT7
n5vjP9KYPjfoG6q/lZfeZl/7Zmh+jH/7f/0/JEKlD/3lFLmKXP+iQn1iYpD+3pdf6m+/SlF//qk/
taiW+YeLIw/QmlMNl5XLsfKnFtX7A6/VVaFKgjwgOgjUf0tRXfEH+lR8CTazmDwXueq/pajeH8y4
8AnX9DgcQXrs/0SKyrTZv54/+G7x4iN65cmsgL/uN5+bkw3whygpQpuq8r1wZbExOdd95iqgmghN
prRTUuh+M9uszzm97unFEPcVGUnHFHZ526bSpJxIhoscxvYpddTndphgcePJuqtUI8+FUSY3cq3n
2yQYGxJlhrxBC2bQgwNI3M6yB6AS9rFNpA9HMw/zSWU6OAbITracFybWrNlazpCE036K/eKU9+O4
s4ZGf1Iit+CGvWA4NrJZz0iuvLOVq6caxORW8af3jugd+K5rt5sMSf+O0AiyHenuzm7bh9Lz6lCi
mopEOc/BxqjSZC/WBVkq4EdUuGgtw36VTCdMM29P5sOUhVWG0C9vKdrQCjORkeohHN3O3Ttu3p4E
kpd9mdTOrrIF11appl3vuN/7IbO3ZsPJ0WBwRMchmctRVmu4GOW4NZx+vrWGZD5ZZVeA7JBTdFxm
W6A1SIOZ2C6H5kOVQ/puglN92Mj4IquVRThzgWw8KwPbBvcfQ4G/5ZOGsv+oplyATThINxu/k58S
ixFlfba2T8PkJNEKNEvfVJQ/FJlah6Kedyp2GPCaTuthbur6mBKhLSKYov3Ym/UhqNr2ZekHPKy9
h3bf0eI8pF7nIbsYZq6lAZLNhiQ/N4JU2ant9bFEB3RxMjOT8CvNXjZmHq1Nbkxh5tCUUGYgdevK
JgV6aYdo8rwfDTLX89wTxIaOUj/o2fUebJDI0Cfn+NhMjtwHndHvJQMEzrPOmAfiFP7JB2TdlbOi
AYDzoQKv+xe7NJYoHphvZOFY2nf10CI9pk1mYrAXdfBpz6QxlTgduVDtKgMe8zSqPiX2xENbcBi6
vixVu2d4hvhYBDinTdXKT1ea+DHFm7SrDgLPb9A1cPOYeSdOLorT23qIvQ1GJ0Q1IqsiEZfMiaqw
4ZJCUB3TqmMWkUSU6C9yX82z+Yr0PHh20SXvFsTLxkaacbot/TLYjpM/A17k7ntTTumBKKOkoxez
63Msa5zf5kCIOjJSjYljyK33lNZiv+bz/DWZ3ZWAT8cGHiONNhpaRQs+eEC7Jh09yuM+5h/euF1q
+nRbO1QLmfDijVxBPxy7cLZTM/GvK+8SBYpvW9tRQV2HXqk+270G1RxT9VHbqfc86+XzlbJiwk7p
AJXN5zKZqw01l7V3DM+6k24fb4dyNfaw4vO2adHl1BU/ES24ddt1ioQrXLYHX0kYdRaap8LBg/hG
NwcGCfqnCemngtzG3vRu+KN+sanJo3h2FzQ81c5UqsHfiPjINogO9K3ivQm4nhdXxG9s1ekmR9Z5
LSFeBYTkYSJVcOvb19WISp1B9m7+iBwdjfWoMpDGoriPpymO3GIEGywWhit35JRBZDY5hU3ddAXI
qFIHJ1imu9GZxXegdeu8BpOLptQfEBUTEb9xOgZWbsCVxhtCqhnDtiSGfQvEXs0gWcvQReTa1dAE
XX5OkfCALhb9vnFjJmVN+sNY+vU2bRv9rQN7z0K38td929IgKtdXuyEwoEh0Kb9bMRnjkr9vbxTr
eKrLajnbxeiGJbKltixeCsP1CIBe8l6EkG3VcgqmjEkYWbM6emN0U/HWsdUvDR5P4G+j1g+NUaNq
7d3ICRL7yFWWxmAdXVxulqFhhQq3flbIndujaSb1Po2LoY1yW225b5BFVMbJFskSqTUbw9HjuCsh
UTUh1Ha5DTLjtZxG/6yLKn+2J39XwancJEtvhAJBVzTaLN2iSfO98mNGBcfJEM2GTI6Om043yWz6
sDuuu7fb0Y1kMX91upEba8qJS51WuSOEDwvCygpKlVdsSgEv6TEecpP1ub7N/Hzezlm1b6oh20m3
/uoX/adyqI5Czu+iLC+umT75xk/lYZJPO7/2AYaJgZ42c6LaA7Telzl21ltjbZIbz7ouEsfpDybC
oe3kMFR3k6jEOrSakzLXw2WVk/NuxBbi1dKtTmlQ26Gj4va5oMP6nBGpv81XX226Yio3HRQQlmzd
fLLL7l3OK6IxeReMHFD93H8b+67fjfZEI+y3W06LZZcXQl204bqbhNd6ZPLVeRTob+iJH5zSSna2
sXzUixG/jQMEo1PUWZSA3nJtM6hqQDAQZUjSOMzSyT3GOXej4QTyMYnt5K4MKLOnuQgeyjILiBgo
bqYiKbuNxwXMEFhjqQ5uJs2nljDaL5Vu8jxEpovXIwMbmJe62w+ZpzjtpvJtjQt16gNL4xNeO/xg
KMeQmjXvU9vUVPPWBHUhGv9o2a3zESNj3Vl+nbUAhI44e+vgfYOttu9kWZkPfZuKPCRQMbhzk4Kh
Ev5wsoN8PS0iiV+bWXn5OUP8fY/Q86u1LOUJ0ABLVqMeEmybTwZxA/tF6WaXDCDEnWjFESBliYLR
Sz918P8y7FrH+FQYSXusvVjVW7P2jqLjduFcBu5HEY2wQZoRnZY6e4QU3BU/VXZIvtqHRGnxpbbL
+xluad5RVqHKSyuEN7xiuItRrPX9otfplab9bWjYUSoYkg1tfxOEWiVAUEm5a3pEMVY1OS92bDTE
hs6oCSGcHAhQ1+zAKikiwlYaZeQh3nxvMxRHSev059js4lvfLttL2ufzY58M6mgNRUeb0SHyqgJk
TI0DF2VLZXzlGUs3hIkLuFdm8Iaki61zkgbGTiYr/LE7bmyP0bGQHPGNTn1nn5aYRQggLgsCDCTJ
mdNV+iinlBjltgZXrRBT5hbEHnDLaXYFPoSZBg3sQvthMbl4Cca0CJu5LyCG48n9PBJNWIR2gBKp
puHZBJYv0If16hBgRrg0cZvuEe9oKH2rf6Y7m7hCCJ4nvZrUZOxN3f2MaG08lLT9kWKze4f0p8Qz
w4z/mdg2qPAEfHZjG1UAOYkQVFwloUWqOLiaGMH1uPjtq+5zgpodPzBvwDvi76XTTdZTGtfKC1O0
DWjEkIASwS4+99ms0duozLV3AE8GnF9X7z0/D17cZvjRO8aPZvSdp0XGQRRUBI+kXPtV6I1t9UU6
7WgiGMm7feGN8tK7YqICqYJXEGYjj/ivxolIz70VpCUVSdo8kQvW73G8ebtuLvQjSeJJSKyN5sHn
TT4BIGBnyANqrWQMm8pGJeapcTfywu88w39zqSV3yjPjHYRKioJR5d+Dq2Q3uIp3p6uMV/hw/ebE
2CneRHdQs9YvNej5dq4+d4AUoYhrmEyTdyOy4qaWVGKVRi9eenur+iTqAuwky25cTz8loO+QNsb8
hdTzC1KE/p4YzeRInfLQu92u9NtL36ffbbTKwcpgGrTLNRrmTLlfoeP2MGDisOALuWHG2fOC9rks
xX18Vdyp1ToqDWIl6rYIh87g5ERh0yc+dw/qny0HIe23R02/mFHpMhh7LfWHIhOSY3NZKdHkmOe7
GO7rcVWdJQ8xXoz2mP8UbDdi9MSDUWRfBRXsg20447Mg2Hdi4AXsExBK8mAkaL/FVQXeCLuMtHKq
p7hygNKk0qChYwAdVWII0Iu+k0ij8ADKfqbMvSrLA+0bPrdekkTwucvDYk7JupNgFlHq9/ljMvG/
IDSWvbXemkuLo5tZ14eg1XQLgMOQv6abHo2kNO6FbnyGs0yjvrjlnH033T6h5WqaTeb1zSWNk3nj
iMy7d+2+34o2QzWlLI2IhH5xP1HlKMgUEgUFv2dpDNt0gpII56lPt44L+KyrNj2A8dTbMgb6hR7K
bjzUuQ53r9Od89FeNlaQqNtqRP2yZO9wQvwQQ60Qaa4wXnbl7/t4UhDkFWl2PfjTPZxiFuZ28Fjq
sUbX+F5XZLvMYnqqSL3cIg6pDr6DCSUI4HgST5zqalxOqeOMe8Td80Pa2Tel29373aS3g590b0g2
nceuWLtwsnO4sNVOb310WlsXRJiwmrLa97lIjp5txPvGlHq7UoLfiSywb+EB7V1X+UyLLwF61lx0
D3nF8tb2shynoVqoLNQt+qAH4c3WjTsuxnFpdXkbr/hSTLOW+dYnZbnYjdlcPepRfZuYtnFYJrT8
q2XYuAAJWaLinoz6xmPbLfCgpL1mqcrQOGF2aVARPFrrUrxNCnMaMYZz4m6XxRye+0BCCPiVdK9/
QSVuEsQBN0mRJQ+4XGrFLMya8U691DCanAiGtnzsCVW/Sd36PXFcebEMl9U2J8YMyk4ETJS0xnuP
H21bVSVvKy7NU2A1+qRnTcNaOociaOv7bu4FbWSe3OsllltOuOrR8/S4S6GUNp2PSL2qffXRz5ZG
LmOw7FaTvIq2rZo3b/RKYoIV51CYXPVyTdakm8WLnVfVBda+yf3iae5WtFHEjWDo6tE/Cl3cZrn7
zGKg+JnG1TxpY+iYud26FS5WozuOU5xthbk23M857zftBnKVOViu3wXxWKzUXbWOwVOPHGiiSx2C
94qFcR6WYATvaNvbyREINvp1fQ60BwQ5KeMj1uu6Geoh+2HBe737xpofC3NQz/9qvOqqPQvsMPOs
9Lq7sJe0sXPwJKKmTJhf4MmX878meMUcoAPHmCPng9nJGp+rVJc29y95NsVgnTKhWsgeaDvzi6Ws
9c/YpP8P3/2Dh9wSgGr/u4n88n1M/0Tvhl/hu59/6k/4TvyBZ1o6uMiJ7yBby/xv+M75Awc3QVsm
814s0raugTf/x0nu/OFd/wt/kFlMsHD/dpJ75h8C2O7qrUUl4eC1/U/gu9+iDmjBkBX4hMsG12Q7
hIe/JVRYgR7UWvSSLMPOeKYmZmGPo3kdlxV3QySK0a+pDIdxO4g03eeM1qi2uLJU6C2ER+LEBEiH
TDkFfiw/6VzVb53C57PxRiMod3gpi2t/JeNnLrr+KFsTneL6j2n4v5l5r1/D48fwsOWDZNv2byCk
6a5B5wR9EAa5dnatM49TaBLxHlK0xBG+u+7xagI8LIYskCMg1Pjlrf8PpuzfBnL8/B1JuSbJB8rX
sUm/+SsLg72gqfplpaeJy/wGj2JxC8WBfHbsyIWKYwelPshcfGqLwDggLVqjNDGeSj8ZjnW7MmCr
Fxga9YGnHO70XHR31NFoXK8CxTYYetpV13K3zXUUR1q3xos0HWOTgRt/yvGKubfornJ/s4pC77xl
jE9//tQVspq//6rWb+za9bf2CfwgpIlQAJfM9r9+1ToRJt0Z1sIpK9rHYsjlZVCmN+y0bqW/Sxut
LksgYTQLFQQzGJ4aK7jl2IHrQx0u56X8Ivqr4M1UjiTakhxPcjYSlAYGctacFfcPj/xzeNIvJBnP
zOQ0Br0yx8BmH/5OzS0OOKU1Is0ep668WJb6Tt+tt8gF3a20i/mMMjY+jVI92QoNuqgWdFLJ6H2s
1VzdzQ6CwqipG6K1VEqoeo9D45IVcjq7hbW8oKYIviZDu47bRgOObta+6l5cXRuksMnltGbOtHP8
2rwP1maH2crd8xq7nVGNflS3g7NXWdF9FGrsb8ms698KxG0/Gkcaj51VlSeRyWkXx619aY3BIC7Y
NbZiVvgn+2I4o+0WSLvqYNtMS/1EISG/NbF+6YtAvzZTV781aV2/GqL0o8kiEM6n48bWM8htPHXr
PYqect1khGsMwIvqROXtX1qQ1NsGSepdj44Khnx23hx0nSAUWm2kLB7FDBgRjxm2IgQCCJr6cnly
HCMv6AjjI0hcVVPk4RZBsrvcCmHcBLbLiBecoxc0J4zKkTtkxXojkRTKyfxkt11qX8n/McqVQRtS
Mxxx65bSfACaXupQ1bO/V8pLokoF+S3hkm3kz6DhsWzY2z7ZJ2HXE6YcFO0bYje5m/15vO/EUGwL
E4tY0Vm7XlX/lFX9M+r71+VlmewGNBrEJQWk3v/OgbR+kqnGW5PNEMwYBHzVghE1w9yBKrX9j0nZ
5mEdUf7C/K93C8jc7eqLt9GgbYz6YsbppTrDtyLsennkOwn6VdiHw095Mvj9EK1SWP8Qn/tbsJQw
eWpqcZfANV+QJOJcN/ovNHkdzI4gxQcRc2uAOrROgL9EKw71VR4UK0hU2QwgOF+5CMvBc7wOkSyz
+NPfb8/fD5Trc1wnShOhTlQZ+SJ/fQ6FcwsdDhjTjJgKNpf3S6GcRXAI1s4mSuHZReb0DxqB/+sY
Q+MuAoH6Hw8kOgH7twAPeK3ENlDlMGLETgHH56V7d+mdvk7gb1cnR1Ivey/X9UtRNIjETa+iS8L0
GX+itnTDMZUuPslhuDEk8oiW8M6z36moMKv0n0ZA+v71af6ywixuN643VI4mUYPXquTXd9WjAIPv
woSXSXJNvUnc8fAf6do6KF1tEe9lGkRW361O2GZeQ3AD/Ac2qoYmOsD1MmTWxqjtLyCdzb2XYdIo
7BV5YY/A2/BKK1pAij9qxzhkRpOd5nkEg/fqN2ftzI1rIdnOoCOefN+ujn5XmXtRui+9kSxWpJHB
7kEBrChOWorjOJVRsySYMizcZZt0FNMluGZgbkidRQc/GO5eJuWNwknJzLdK0AMFa6i7eXobbAeD
opvKe88yMTBPsYmFPfaD3TUO/nMmxXqiLw32Oe7e7SCTeMcYHCxZSdB4O2Pp/KdhbcwDoRvxvqgQ
xHuZ32+lWXMzd6n7yUsXAC9d8pcTGeu/K9zg+O2vQKO7FstNbRiuQTk9nPrF7u895qo/jEY9f8PY
Zu04zorLVbEIkMxoj1OVTkqHeWuLKGkMBZ3TObepZz80A56y1nZarIQdKTRx4l28YcrujdyxT0lc
x1sMSs5R5cxtUQ3+BtXYIFVFlZ4Gv9envvTnfeVQ1Vct/FromwmOm3hpTNJAhNccfOG4H0PnQ6Yk
vg5CY0qcrZc7M452p832V1l32CN9Abk1hoMamOgXZEUWw8X17RcraVrCQK4xwzo/Vkk2XdZs8aMg
i9VNPkKd+tm4q2Lv3TZj5+x06auf5EZo97ghhjm7DVYqxa6yNdateriUhtfcuHoYwZ20/Ki4bfa1
39Flgz8iDVJJ20TOjKZIe01wOwb9i6aJvx2aMbgLZi03c1GXt6jriBuxWm8/CPPeHIzPZMCox7XH
3mfkA9hFO892lHYlEmPMWyx5e59buo2GPH5H4NtgVfKDuxJEOMScha28W61Xymj72CS5czaT4ug4
OthbKxMwmKu6PkNEG5ukbNvHcVUFUulg3dBYvTGoFhjYcJf73sejOksjuxqd3IOuKGdBVfcQcgsz
PZHXR0CHBCrOUwUoOwe4b0s5RKSuLhE46fiZd0hOvTd+jtsyO8lR2ffznHl07ENz4poT712BMxq1
My40RplHVQJa50xkiRpwXVWDnnwjFewQWvnSPqEWHQjtUDFCffJM+i793iCzqgnnENlOFXTG7Ww9
x/VK7EGiu9vJpDrd9QQvEj5X9A+LpYuPukluCclU2x6T51dqMfNqQ7yuoABjsONW9qObeuRgBv30
Wnf2ExN83VNlD5hf8bhbILgsZI3s0UOzmRK7gFvvUPICLrWRul8sDv03OLbqAANkvxDr1961g928
U6qCFDr5ejM4SUFlXBgi3/u5wgOCY7be0i3DRSByz5NwzC0b16xM43dj9P1dkefZ9x5KHr1bilM7
G4wr1uqC5CW2vWeNdR/AjF8BFYJN0Nsw8oIOvEylv7eKZD2LJBnPWZnpu8HuvbPwEIMHQr85mf+j
Ycfv8qtGleTHq8iNAZh5fm+XRP9XUskIuzfwFmKILzMzkhtZMkCvVf2BaqYQr5jMOjRYsgbTgFZe
XjHBdAzSkB54uotxfpeRjnK3oPL+uhbNBBSGLa0dFmbi6HrW+wlEPuy9Id7KloETEp0vMvomu6Sp
b7LziNm4LBhTn9K8NjgW2iHbl9QO1Ndmcoj1xCREH3H6bI0EAwWr+linJDh3UCK3RuYVLeGKgDPj
rMpvmY+aaOh19RbUiYIs9d2PKV6np3QyOPhXdxsPRvBFQo3e5n7XH9jQ1qWQrdwuQvJmZk8YfjQA
6PgnSHMoo0JgDMcG55th5iqYYbEAzobc/82ntVtJZVn9pT9ZnGMMM3Vt44pZsfdbqMjQLjN1MHEh
3cGfXs3TngU2BDlmr9tM1bZ6yXyP7s4Es0OFOZlqMyLF+7agWrbu8MDD7fz8pBw5JdICB2E5Q/+s
5zUIiFQAEILmnyycG1wjCxFDme833yYJD9nwxJe5iYmlAGWEZ098E2tt7a7RxF7bDsMYRKb2uIBz
wMqrC1LdL/U6BIBVDSEkSlsXEbRBpHvTOeYeh+9U+VeHqLLUfS0am4M47lNviyuZwLShV66Dhyzr
rv5OapRzk00l63Ws+HWvZvMlq7O9wnl6wz0uX/nwsiNQJc3zD8ijBIum39nTxqUYKaiCrbbcZQRe
MAzPCtopbNJq/Da35kIlg32sRXJ6+PmoyL7cY9uP2X61F+sZ63qPfLO0LtXEMrb6xLpgSQQktriM
rwKMIFpHrqqYW+bGwtLn4+ni22dqkdsKe8wjiVYuNTeqhpdGXx3VdrJSAjmwZveo9ygwRrR4jwpn
+iXVDQJvykmXjI2GpWGpVfwXe2eyHTeSLulX6Qe4yAO4Y9z0IuaBZDAkDqI2OJQoYQYccMxPfz9Q
VXVTyipl96ZXvamTJVGMCeFwt9/sM5yKhhNau5QDpYa3NCR7/R7NNom3HPTYBDeOo6PNLGX+osKA
59Fn6JGe2aiXoGvaGnSHrz4IFXj12soj3NJBD5anrGL72CUdL0SXM5+GVqnXMtn33IH/VphD07QC
iOLzIeUNJyLYVwOp8XiA6aOFc6nYJ5a4EZhHceMMqnM+mhMTDccInoKo4q0jo4JXrxH6zSZ99DTN
U8wwcmbUxI5idF4ZFJnPVtBrcovWOJI7qOz+PkUS+T77RnprB5W/c0TkrSrcHPAlxo0vipNqQuqZ
utgJ7stgNral4znomTaRjsxt812QGPFWL7SW2CyvZjOT43UscetMzXEwSJloQpLXAC/BCVvjcBd3
cW9tdD9b63z0wgeZZ824BXrxtYpbixgPpymgTTlJ3CbPLp5M1bXLhX07B2a7qfKSf9fK5jQQkwUR
ECwnNR0E8L2jioR/6H2xCGex+mBbPNQ6V2ernQSmlSR/0x67jlrsyagFKagSn52K6ooD/qTyezlV
aPxhaz6oOO6yNQZIMhtu21jJrqxV9zK3+bJVUZg8hsriDhJm+HWSorYEtQLltG/qRVU2ALEJT+kG
VtGcHyCzhRN3UJmcRc1t2qPV9JjmNtKpqyy8C5UVYg9SrhUeyAt6Z2I+4zfbR+K3c2EdG2mOJyvt
rQ+p3Qj4RJz8D5U9R7fwYQp3nffTUyjsZ/aYH704ujYxWRSjVs1ZT6a1x5LwwZZL7xREDcSf5ktU
yWrdgkZaxVzxFzWykYKxZlyNYWKXjmF0P83GNR7MYB3EnCUN15m2Woa4vntu9K1wxkvU9t25qtLq
oot5PKAi+J9lXIr7og2qtTlk8pJGfondugCr45D7GCbmNkvR3J07dvpaxnX62BvyWVWmfZDar+5k
2b0afVg9QYNL3LURg4JJ0iTZkBFLDkGon6Kqpr1tpN5X21Hz1iQ2fvjZ11wHOAhWszv4bAx9PBSG
2s248Llntu2V1JiJGbpavLaW9PZVJ2w+ffmWlM5jIKbbmfkjXIZm+19JFVWga1G4He3fcXiJttVA
komd6GPJtjOZzIuJT5YZEyc2aTVYkdsPfud8FZn1XPas6bWpPjAO+pgZ6UMcE7bPSEDE5uP7WfX/
6+B/p4NbQEb/sw5+bF/z6ScFfPn5fxhYfQys1JeZJgoJB1gMp/8wsLp/uEhxAJ9taM+OB9n+Xwo4
BlYz4KzLLJosjYPi+C8Dq3T+gN8ECAAHdoB1//9OAf+L+EDhBOqDuTDDHYGH9eeD9f+MYOKkHc4p
Mxd3Gb5QbCsPEFwYyCyjmT+9N/9GLV4O6386zHOCtyQldTAeUF2Wx//5MeussfqkJG7ZY+26MbPc
PdLGE3+LHUWcO+Bh078TbeVfHtK2sOdSCMmnQIjgF9G2AZzY9UXK17HIw7vZ7snrcw87jSlzqlW9
3FOLrPYuhkMbUOkzEJDNiH3E7Hxt7EAuA1mIY8mG4/dvxfK4P78VvgXsjg+aS4QUwy9vRVk3IqtH
c+kvFeO9D0iNBoMlTt2YKZXiv3+wfxOVwIr5Dv8XS6veL0JTQEi1qrTVsUFfItJxrmTHqYr90O8f
B8DDr3oNQx/kccLcTAOwhYpfEL0QqbLGtsArqLDV86PCuVIeC4O0McW5aUBSk2y+e1Mt7JA7HIWV
d2ESajnMWuyS6XdpQKOSocibnew5xrMVx5S7BvCVzEegabDy+O68WZGwwg0EiIY9bBMHqMs5VK8X
P69MiTt0iShgjCqqjcMNvWTQ2qNQwQ6SZ4U8wqxcCfUcRd30ZvSprNezNvFzZWZQQzPU/ac+S+N+
BxdvFsg3bIvuUwaxH900zcINmcLZPVkBJzzWbZADx3wO7E+4Audob/gMrnlq49ClpP5tT6LXSF5D
mSbcuevM7dO1dCxDAilCesHuwQBz2lgo6N457nu3IVEE9QhZpGk43bVhMRYfdMBoelNFPZ5Xq+tI
lljWRUQRIpfJ1+2lKMyLwa5Hb4w5Gm5VokuGym7vwt4YvE9FCXAMJoxGBgsHD8NnnjP8/YhTe5Lb
duDIfWMC6hQrn+NourdIpr0MVuk+k70Ot3iHXHvtqEK9sNlvLuhKw5dO24leOU7mIwslMy+0GpJA
Eb2bRPGFHGUxbO2azRmH5hizrW8Iy1+3RiGsg4nblRyZRDPrjEKxr4FN5a3miWqzdSjkxz7MPGcn
yxwjIPjDdotZsd3O3YCFiHBIUHf3yTT1/UciRjxm6Bb1C0mzeO3W0wSqWUv25hHjbyJXbXWXaeS3
k18VCZCjii1WGmnO2xNiyleTCLO/gpBCfh3HvUBrly1xtXqeIcSspqLEUTpjupxR0PxZQpdPjX54
81kqLHkKgjqFQ2pHs6lOEMKKatfamnNzVyepvi/MSr2Yfcp/YiHls++xu2t8DbnAM917WEsuPPRU
p7sGfETGlDEIm/tMM7K4r2XXZvtwKkYYb2LEsrzHlM71ZTmFqa8jEdtIYf/mZDJsBtIVw71Zd2X6
WCgR5zfwOUauQjdbfnpVmbqT4Nt//KE/wzY6sBtbBhdmwG8mOex5Gbq8v7hvc4VBDMLCEDo9ntOg
BL7qZKHnfrZZtKfNFOHB2gFKiI1ndBjetRktmUs7mdVLn5AM3hr1QPR4GjpedSk1fwmbyr+WCgM1
2SFd65fJGe1yE7pJteGbgj188L123HaM+cs1oW7+vcFBx9xX3mhlMPgYM20QHshgQbgEUoP1rcnu
B0y0xUOb4EbdNkXCukG0mQsSsCwbuhQOxUNi10ZyrKc0nTbIxb73VbhBCsOF7aG5L1FNvrXaSL7n
jRV8aEWlnJe49FE5u8pqd45lnejwanZGNPtPMqXWfgeYwX6I6sS7qzrLvK2n/BBHBRuyZDUSVF/H
C3xM9GjmqeXtE+0dCXq3nztvavaW2+3myHmUU0aKEFXYacnnyzqP1mx1vXvOWPl97ZjGmlBvgtsJ
eMdZZlb41M9+B4dDGIl3dUVJn2Hxva7CxfFCDm9v5q117OaeKGuZdLz7ibzDWwFbqg7s4SP0r3GT
J6J6E0WIp3A03WteFYdsTJqdFznPfQortCyJVXez9aT86lvB53zr1S2OR9s6GATJ9lOtwqNXdl/K
trhIE9CjaEGAmqHx0UiDdDVob9oEywcToEcyEa9PBEE2tTE+kgvaq9aMd+BOqCGHzXGLj7PlcoDV
14QrY0pgwGlIXG5X3UFwZmH1fTB9qy5K7oI0fvILuU3seSYUypjMq/xwBWFbfbKY1QDtekK8ODPF
ddemFZ06JE/XjOtTSyq6cTObpC1muQbvpcDhiQkQWkU3n6NK57vCYWrXhUGCzXTMVrVszxJ02dbu
0g/cwYj843RcRbiPhWIZTWd/x1LlPM/exLmSTqIWGNwh1gLFWszNkV3QMWoBISYVokrYf1YzIBbI
CTgN64X4gA4DTXfg1B40Dchaue+IdMyBv5FVt4mEfMNZcST2fSgTwYRDF9NLmJF2ppmWT4kzkwk7
utwpy7ghe/Qgg3THzm5eIU3gnRubdlqFflHbmymhkng9zHG3M3vpX7EHGs5KtjUMLfcUZWVw14XO
1VQcGWNIVasw6J773ruaaWysOp3ctIFzQOHVK2J4dyIJWbhHoCORne4jNaVbTIbTcZrye8dYqpi0
2BIGl9EpMDKHPZfmRmVgmj4aKviS9ppqGrslE42Qg+RE+oM9Gt+t4Rr4I2hl1p6tM+RXq1nsm1GL
8tq0uu05ME7l6wC8E1uW8mBLqLHPt8nsAPZN677eKjcf9r1VOoehdNPHyQyHgqfKoGRlNUNCBMCN
PgVUhfPVmDE6GVaXqE0sOvI94ageytazXoO6iD4HhlIuPG+Ch1sLPCErx3Rp8OQiCzj+JyZT1skG
GvMKlKuxkKUnrIoF1sztpHjPgAJvIs/JDpGbhcWqSSW1mV0t/AetOgM3Q0pRGig+htp6CKplKJ3c
xlGG5aqL5mgDYkG/jIgUh8aMvc/KFfWWxHNyzTgdcJvI+n7njpN76azg1XRqMgERg/1VnVR5trfQ
J6iRyoLWugnIjoFT6KKImCebBXPlEYvaK7fvVkPb4W2bjfhSW9H4PQCHQKS7yup1NRkJqXM1r0E1
YLFYJswRk3RHm6sshGBAolO6/Ua7IZETYeaAUfkY/Wczzds7AkFDtybcYvq70sxMEFakXzaGWfKi
xRAaQEC0cVdggWbLpRpvD9MGEFrfxJfCsPQ+FAA3A7OHH24OmOmyjEkAQIRto9t2k0dxypRiLCZu
i+moAF7nNUsvo5c1V+rVUw6t1FM3yw2dhFl9awFDQQvvKYWriFnsnCarP9b1NB8IRPcjtFZ0Erhf
YqNwd3PXj6L+KwT9aS+XYFCtLEksf86p6CltzBCrcgkURUu0SC8ho6yAQraLMLLrFUwJ88kjnVQv
MSUUG+gIKBNHszAJ7ALnJFS2ZJycJe1kLbmnSBTVR59QFBNKc6N1D1qBDqJD1qnyLrF9c92W7l6z
Lu5JL1Evhx3aemh0KLbcYgnyArKFWAtMiACUvCa5nRxsFtBDW4v0mJBN2oVs3FkOkZAUt8MzBvxm
X3YEwkZ0XxoOu3Ilk8y9EqiCBtmgEZVLmKwlVTaahNZVvizCtd+HHFpg0GwZuVTkcavIuk2p3ji5
upvvUIPyYmNgrwXOEBbF19rXmgSu7sujzwj3bh6halaLQp7B9kf16jRfbUlG7ENrNOyw4KyFe2uJ
6Plk3ZZ8NrG9BnkLSVDlR8+SQXjweivYjCpncm8A05kbtzprIHbrUQ3xN+6p2lr5LWFCbxih2zLM
wahF3lAOA+BBaqWuLD3EEbkJOaByFdZ3P266A8xJiq8hV/trJgwN8hvpiIxR3CnMM2OXirl9bDF7
kKpOjemQajM9L72l5BUH+RJw0Km+2djfzbVoyUyde3LmlwyG65NiHG/vFK3mMC1tQ5EI82hG9Pva
vwWsBn+4y/sPKAYkf2bDG/ZmuEC3/REoi847FuuJOEu5go43PgymtdRMd378HfLi0nPIMP8zgQyH
uYYbkUSdArkGaaSGXWcsgL8eeQ31PgJSDWDK3/R1ka1r2U9f1CBUulDgMUQ0JLIu7mD48pRFKHOo
iYvldEyjirji7FzzduakPmZB1ewJ0ngnBK7igWGODR+80Cc8BCPW4sUBu3hhcy/9qmpwtxuwYThl
q8AgnQdj5GqM03AiJBNiypb5VgCiWsEzj3AOMVvfzbYOs7XsWdQrowZyJJKJauPu3cPbs92JLjEf
f7QaQPmuJ2bKHG4EIQhpU7SxFx3MrpAr84CZ61X31fQhQTzOdsOQamfDVoz+plblt9iwjWPLSn3T
IRQDGUqeQjdOCFWV1hk3v3PXJw0B1sXKHPi12PWdE97arOIXh9zfVviJwR4gSh6dd1f04o+uFqc0
HcCa2ay0v/rdrJ4Zs+ibcTFaG6GZ7cvKf0xlXh/NSWZo/EX52Iw1TjI1JtvWjPQeclx1CIVooh1r
kNpk8DxA0ZiuWilfQDNcbOLxFJjVtloM5PXM1dx5oKntevww96MLZNJko0F4J242cR7qjmwNlvV4
qvuNRDUhRMwtfz8iEx/NspcoMqABdouadfJLtyU2Ajj/UMOz3MmmHOFJ8PA86JLpgnECWV4ukHl3
wc2HJefudEHQd04ruInPejlVQnvGCZ3taUaI7sORKWZhC3Gb16X3BJdm/p6+o+7bhXpfgL/nAEnM
jIQ0xL68B+iFfY3w58LMH9/x+WHKXpHRamWefb9kloZ4yqcFbr9ZwPttkzqbFlBHsM8HwPwuPp8A
s0UEkc5sFQtY5ARAdTxpxacO1Mm4bhbYv4CisB7CPHmrq3naFt3SBxAndrMbCiNuEeTdpTLAea8P
WJoEBm/wKBVY+gWMlqaBaWm0qF1wC2QN24stTPuLu3QTTEtLQf5eWGB2Olz1SWdPW/O90iDigAGY
v1mqDsBXZJsRttYzk+H6xWGYsyobW36wICCAzorCo4CMeirfexSA8xUP3Xu7gluOJFVnvDrfnaV+
AXfttyIauev2EZvgWOhervnkmbGQFBPPU7TUOQhsT18bs/U2EuwJO/YWNkIzxlBheiyC53gW2VGT
ydkZzXtVxNIaUdcm8jwa+UAenFYJHjleZ0vThFg6J+yGOScQbf3Mza04gguUdwDx2kNj1BXgYK4Z
KC1DmX9kiJrd5jJPHohjZnfMi+pVDyeUd98/e3wsFHY02a5+L8ggtt5pDkANG4Vm6dDIda53fd4l
8iuT1ew1B13BBzt5X2jgGk90dqh9WpbV0WyWgg4vaEhP6SyjuCNZOjxo8/WoIom9Yjx2veV8JD0A
y0Ut3R9tz4dO/COTN0NmMtPjNM3EjQXQPWN5N7H25i1ZtS5Lsj0OwTpZCKXJNRWcibZhJtzPhAVJ
laPZMDoTs9LIeQCU8gMhmtna5a0mDa38ob7JoIR7ax9IvzxCQCxf83KqX02DUgCUQfK6mHRI+LcD
+1Levdhobge7ZELSZ1lBtUQ2Dbsi9WOgqorND/dQcz407Di/szmjiKXyYnISRmIkt1gXom5DAXFz
IVpjvaBO4QRqqX85ezDjn+vCe+D+bXLnIJrKZNkzaVcsg9rhypr0K3gDiE9xyXE8fNe3nLznvwtT
lV+5L/QxszfDu/rS6tWG1bJ5TLIuRcGCOR2vQfNVhxnILyTvRPUnw59rRiPm8JDQsEP5idOwfwys
+LlTfn5KcwuPRRM60WurKoQFh9gnJyXwQmgN4wDa7thJv3zucWU5u3i2UNeYtaIMZFMMb93ymFuv
aL8CdTMmPv9bs6gjU8TUN63bwkqAX+XcYJoOdN8qDgB7AUGM6Q7BGGGpU6iDllTfEDdf+dds+p2e
rYaV5eqlxeR5JgsfDhwd0kxlW85u/BJFFdi0IV5OSDFX3lLnM+l8a8MVePQtIpPcmfgxvpOSizcg
8L2KZIFj4cefp++6k7NoJyIp5HGZ3EdRGU0rDMUiPyahY8LGyoaGu/XKDYvOVATXO2s+5FqMWbJG
GlTVpYhS3gxBM5o5rRgpzsU5x3jsEQmdBmQn6SlqQLwCoi0E3CLS9+7MyHg9BaN6KW2AVhslA37F
4NNtzDyL4NuZmYRZPUpBOQOhSHwCjwSp+PibVvl00FC+VW2NNJ94guNQy+xW4zuqvxSlhwRThCis
/5By0K94kwScmxRdo0nymzjFncGQ1AurbVDIIT2Yg4HBARRjOl7HsFYvtDPwC4ST8vb90HakYr98
NowY8/WgTT4DF4OO3rly5GeCaqizrXYiDCuTM9dIXkMT8EZ1zB+wTmgmnBDlkeTYLaqyuhiWyeeP
0GYV57qpC/2Se6Sfse+Hc/VowqxckBUySvcaj3h2C0uLizLmuJ7dFhPBd2c9+WmX3eHfUsVN32Xd
Mxt/3T4R5QmbR0tTT7EbADssN7QobPedaTOwb3x4N7eFJl20b4bKye+C95fqkyN2j8iAAFKxfExr
bum6vEvhN8ebnucwAsKOqwBdSyLbkQwI7TVIqrLbJi6zdqyPNk9fiG7A3aKaaJ90pIwbbRc3Bky1
VYMJ4ymhoZNTKkykwrF2WenNxYON59Vd/ZcJABa5jalkBfLDW9EEEzLrR81UF3uAvnj0K+38jRv2
L8Mhn/g/wwm+6JhV6LL9eTiUDpHAhyW5aoWE1jjKxEJP6WHrYwttkp20uqL9mymM+MuD8m8DQXqB
OSxTN/eXcQWbaZJ+bJ5WrmeoF9S7HlM1V8O3huPdRnSzA9Na1zAgegPiRt7hk9xNSC34tbL6mg9F
qrBcmM6WjjIqa0ag8JOsnc810ahhg+uSo3E9KzAxU0tPBQcXJru2a/QfvdqKdwEOU5j3kB82gZs2
xd8Mfpan//OUCUoWVmd/iWhIZn0/v6ezITAQQ0BYcQZOuLYpL4sgJWy0dMb7ZsDfJL2B8hCwIQ+/
HwX9Ot+yBLFVsSR/eOSACdzPjzz1c5rynld8eBo11kRLyCkJgVS55qjL2vH7h/v1hfJwgpGikExI
0YmDXy3dk5WUXK+0770vTAmRZb2bJkSCvY9tYqnnmRaRgoUD5XHmHrz5/ROw7L88BcaLDHXJhTBS
dX/8/Z9c5ckgkjFjbgClu62751jnuFdS225dJlRGdOGeZPdbQ0cKNTnW2Us451hwHMC6CD4e+b8N
XHFO1C1DpztNwC9chSXeKpiNdL2tpJ9SShC20oZVMoY9IgwR+wGG15CwB6Ua8gDva8DgYcQYK0K+
wrBHzAoLviKcGG+crmVt+CHbO33LQozQvOxRYEdXF4F2CbqL3U+6LoxRf/ajyU7OJRsdcYdS7aqN
gbt0OjR5a7b3+TDyIQZ6tKpH9p4suCj7TI/qdGRRbnvM4BufHiE8jl0IRHg0k2VpHkL+t6LGgGBC
FTrn2pPeNQom/rTG6OOsmkF6HclGw6ISxHSWlTqNuVuIvuDJ00dKG4ls+Si57qPXSI0q3CWp5Z+K
RiMU2piub1I/C76bMmaB5z1OuEeEyNAnYBlh+Fxie+POFcfx09y08xWwfctiK2yegpOHTC0E+mx+
kwAMSPe513OTaolvz4eY2HH3zcG0Buw0wCv4cUwlTNqp6rkd6M4JOLwqCVWpwgsCNxnqR34jE5QG
8DA1lW1YnsaCkAyUmU1GLoDODAbie2NMeS9D1P75EOrIaI80B7CAFzTaMu95v185dRYkp5EEzLhL
ZIvURiB4NA+tNZjFefSGwl3BYUPe7ODP1CTMl9/QJTYPgm1HpxsItDWW8yhJggOzn/c3weNFA3nm
0SuD0q+bmT1guh6KPtb3cCHVi55xomyFGkOUSAjSCVb9ZyEbrprURAefsJ4ThmnLYhuqDPpPiHES
PsWtTku0Z7dMpzvLBa3DFzCd4Jm838XHIaWitE17e2XUPcF6lK/vVpWJ60SvHjxPH/zXJizKOT+x
rS7/bln8xfsgLOIfHMAwmvvQCt0lZfjnUEFALJ/YAvyQBK7UuI6YOV15jaxTvh0a5tqq47vU73gD
f79ILMvtn5djKAs2y7DH4wtuN7/ebcTA+SH0B+ahecBxEZANF0LF6edHaPWnWuP/Vf5PT+6yuP70
OAHmEk7wpL48QibeL6shuhttSCkFkLY0vKc4sIpvqSmbGoZD4ABwLmmbWuWkAf1zOFvVp5Yvxfff
v9S/vMXUCBOKIF8jA/wN72Wuf1oN52ASRglSHZe8P95XE9s8pAjvagmLobl0prciWnptf/+ov97O
ecW4Y4iUMlB3PVIuP3+wzGhiqutRCEoMbWdpsf9l1VrGofT3vvRRghXw94/4l/scr5P5ekA5sIPh
wf/FRgPcNh1hNM8rsnDBZZyW1qFolN+CqWEp+f1j/Xr5CJMeMtKqJm4d1/pLmK/E1ICDPq1XUcBW
dcWpLzOuVavm8svvH+jffXiEblySSfgTLG8x1fzpw4thHNsQNAAlz1X2BaR0UkOEyPkDTPIK0II/
vv0Y+P/+cfnm/3LlClPY2KEc35acKTAK/vzI3PTgOIcWCQ6zzS+mqfVpss2GmhiQ72or7Mp9S7xs
/E5HsvXmGC11siL19aumAAgSnD/Vb4KIjNi+l45CA2bai3M2v3pFLx9V6RU3xAlsOiQYxT8FDCtf
i0QsTs/Q9+NVivrDrRbOvyIZqIaNiPr+FWbPYulIAljFXHzVRgzB9CqdHmiFkRp1esPqzAgCn/EX
IqhGvZ8tMYJRakv/frQIEDNraqLkE+VGRUv8wq7hDa5cwyvk3ns/f3VsDIw1tbecCM2+8MJji2bS
fQtoXcP+HvqzOkHvsD3GLWVvHDBksGrHdkrgt+mMBBrA+/kyaBR/Xr6LD4Zk33lbcBb07+1+4jeQ
9kjKO7Otwg+ZF1mM+eahNYsTnc6pvwVVr3CXdEXBmUjogt9ZxpXgxhnM9xE8N2wHvo2ZYabXd5Uz
f7qFZ1D4u2Re+mfLITUumvnxx/FdKIijZqbwNZrfUmo9UWAAHF20U7S8EGwcaJITm4Qg9ce9k8Ge
WMsS3wedwt/zXIJPAkoXceOffLzd2uN7f6OdFEXToSlpoxrV2YdKlVNAVsUJnxOynt5uKjoifHMk
P2mVDE+Oz85i4+MoVSejgm9YNpEd0dyZ+sm2DHwNwmJZmVrceAfGmb67Bl7DLXBKbegb/jj0+Foz
oC6BGpzzj3sClR28xSYjrOzmh2iQ2oTEXhQAYD6qwGdPQJEB+7EfP8+kwI/OZkKt+k3SYhe98ZC0
Po1OJTfEuhcW1jQH7ibLtfFioN8/2NgwUBdsM6QLk4zEubSMimyDMmgyadnm7p0pcHa0Jg/tLg/G
sMB4TUDvNi0RKHdN0ep6i0ugKG6TQU89zmfXtjYOBhBStNLhYv5hj5ibiadclm2k9m7ho2jmFHYK
5FH4civ8rjDo4vcPN20SKGfKbaBSUnvy/5qSuvhYvxJzha8et/p/v0NU6ZRfsKM//R96l9EAr923
ZvrwTXd5+882+uUn/0//8h8g079xjgruyv/ZOLr6lr82nf6zdXT5Bz+co1L8Qb+IA845EFJKTGL/
dI4K+QfIBCm4uXqIJ7bkFPJPdoLLXwnL8ZCB2YXhN/2Xc9Sx/hAu2w3PRYAzncVU+s/Xff9j38Bb
9h93F4IE+c/LNDZKlzpfRBxTsuABk/p5me5HNGq0ZGdjhSKztwmFojtrrD3s37N3iLSCvOV6e4c9
1IbVyT8iZ18ImiaUL7ElP9c5TPvSLj9D8wIgEizGqsqhHnwyjsE8sqYrKNvcKoIV5pwr1qPpUPiQ
0D3D8rb5YM9L7Qy55sKBfACCUJsN9Xsk5dhndsYGuVwzw2i4qOfxETBVjxZmrmTo6g0/5a4DGAUb
+uaIdNN2vsPwTXSE5W9eFR4+ydhziivLCI01ON6Ura80X6C9dDoj7KkvgJWenGywN4Q+zRuL3T3e
FtgRbHZiWivanV+jQbt8iyT2J30uelhvKgiiHdWH1irizHYukukNRZX0ulc+RBDx10U+3Aqz1Pdp
zy0Evoy3K62GnBxA1KOMO7krtcwOblBUZ66RaNNAQ1svMb5DFurkICqoWaUZd+cx6+TSBBTHO59u
wz0hf4F4Jmembzi11n1Tp0+WDz7NBKj0kNeo21BlMdLEHXc3LBjHXs4F2PYZ+FTSfW87CqyCZP5Q
Qlm1XYInMQVY5CytGypjnTUpzhvpWtMpLYAYrvj98TYaPEhXmf+tVgJlsPR6te4qRjBBXI6PdWa/
AYproOzpaof9BTiQChVRruDVMeZLCTUCzTRj5FbCuzVmyBBx2Zhbg4VzNSCdMxKo5La1mnvygahy
XvUZvzUgiRFXIsOF4DjV1ArGOoWjF3rBIZm7o8wZX4cGOOieXqCNWjDQWK2oAWyTM6O+zwTZjK0y
EvblYwMackkrYCDBIAEmhEnvfUpD9GfLxAeQ0CZ5iIc6PEe1gyqbwxFcTX6/N1v3NbXsDQTcFbCi
G0B2hCtqDKh0OY98jo7SN0McrWvLvYkrhwK14pnE5YqLjc+iWfWwGNLGekT2I59LIVld4MKZaNwo
IvvQ23ZwKUp4C1aDrEl4q96aTl4imiUdzGsIs3wtqAPk62nrp3bErUL0qzJPeTJAQBiN5rGn6S2n
9CDkq8V0zia5qUKKQ3GseURl6rlOcb6RKmwG3kEqA/2aDjMN6uhCdFF+TZl6ATgU6VpHnd7aZqd2
tjlwm4/rqV1XwmhvLHOUJ+3Uds2Qt/a2leVFWywQG9BTawe7Z8YGI8VDo/lOaFqZblMMJcyYNUP6
IHbfhmy6C4p2SwMljDlZbcrcsDbMP/uN6aTmhpudC+d1LiDEMSMuqghGMcf2+0IpJDvhgDFcRoNh
HzdrLK7jnm4oBvpdh3oyO+14z8V942nRfaSKSMBWNyoGjzr9JIBJrTWtFm3anaB3yI1VTeEeCyEt
QHggQMhTHHTqQgvgI1K+zAcqd6ORbZEJaxjpoT1J79Vza+/c97V5gO+WsJdpxtumwSjC8N8PdkwJ
Sgw1OH3BNxvXRGBHavuUlSgWBMiHMdyS1Xt04+ll1mwipfD3QVaEQN9ogS6XWT6ESSRfgHWhZxDU
dKj7dQr2QRwi9iVIuxtSoukWh25wqiFpFEAwLOeu4pz+QTASWcepE95Dk73zBIuDY1LVkLjGXRoH
3xWNcwUbmXWfZJ9JAMpbxsqrifXj1vQG5wAYZ3nc3rmhS4bOBaPgyiVSBNK477pLX7jVDRN+4PZj
Uq4xHNylbQ9jNdD1Xew7+aPlLdRoKrxWUPqRJgw1nJrAU1tgaMCnpbYw6TmUn3C/gZuWATrsi7bz
Vp1NdC7ObWJcMqCQa0LDgChbwa1rFpBxyHmg4Jw7FNssBqUdFC9IN0C354eM+0SEb2FUkOdLd01A
DXsfM6hmWqeBS4/yxOgu9tc9gMHO1V840q8mSM4YSW9CiqE6W9zlo38fIcc4DvNByG5cedeQcwDM
VYM2MyuNMBFFJCH7xWLXvRSJcWn758GOPzoUyeXpdLUxtX7FKUAm0MfbEfICxyC/B2OP43Zc2wb1
tyxO66mz38wUlJ71hfag2wkDCnVpLbQKRo/x1YulecGuJW+Ap+m1mWMFXkvRtZtpLCjNHqv8SPI0
eMDM+1Yxk9y0pvMYKoxCTh30PFnEHmo/BY1/+ILPPZ2rq7QnCohF8ztXmH9gkoHfyKlVcmdQIbEV
qDersEW1AL04Gs9wuxcnfhNeLCb2DIZ55hq8YyFraL5lewv11pXgD4bokDMqvRUYZRc4pVNQw4pr
1Btq/4OqfLrF3ey/mTuP5ciRNFu/S68v2qAdWPQmEAgdQZ0UGxjJZMKhpUM9/XyoaZupuZtrs7vL
6uosMiMA91+c8x3jl+sl3FUNfsU9mimkrxHW7uuElOBExGBzXbC+vvWpdZj62fqSgn1ojKXgq80Q
1HfAFveWP1IzWBOrxQ732EFzFadzpo8+/k9UO02ZN88gGnxCmPX6rutSTguZUWH7rlvus7poeObW
/801KTJb0q8THx6i8gvm/p5077MUPoDWzcfCJcOV8+AkXcd8r1DEI9EnaodhMy9n3qqHtoW3s5oL
sl5bvhck1jknU1sEE5kPF2l0ycfI0b9OC59wRaDs9PqvqGT7D0MKKVlODpuJe/EYe3WzQ3HVhprr
Fl/DIP0rD9ZHBYJyw1cE2JrxiH5sEhizWKm9R1kocct901gDq9zDoCe3yJPvRWT2x6le3kunOBCU
1/JCKKr9lly5kRy25zGd9GOf+flBzURrl85UvdITOkHO5cyXLpurNg4WI6RkiY5I8j2YFrofajVX
Wi1abQe1BmKxLuOwLvvlEjPw36M9LXmj6ruUdAzC2GIS+5Ri3WQDRg1SdGmpU7eHvqjyV3hGG8Jt
eYZKkh3mzwSb3jtBSO3Orj20WD0L763Xzdi4JRE0qdXFB4XXPDSRtma9kDt2ZdmeiGoZUnYtR5Ok
4b0yxuJXYZgDkC5urwHUOdHxLZyspi722D+3iX6ixGuv9OKICSkst6PtXLV+FdP28gVi2VaYzhPM
q49GDk95ht1bF7u+H+7zLg4n6Ub3sRElR75EZ4Pgizw9o9BDqc/Py5I5oAidoMDtsffzKv32mtjd
Fo4qT10ph/uq8+7cudL4NsG3BkXSf6VgK29LZ2hjgOYrD50axkIu4/u+HbJXAZL6xSowgbt1seZl
Wax+a50FXxJXzzmf4sVHI71NHL1h6o62XxGARibACM/T8ck5NqS27Ydo+p1Fnn5uoNRaC8ORXqL6
SqPiO7YmmuOB0TjBYSIbb2AwtjScGxcjsbmCADweUgQXj6hojpii38AuHl1lSaoBO+wQZyWlfWJE
85ZM0yvBcPvW0W8jsKbAmuK97g5wXNCEYtm3JQpof09Sz3AoIvkrdZ1wXho8Eo16wOtO3YbCzEn8
kwHi0IvGaIuPfNgvi0Kd7YaZk++6UQub8ltXzEnkmtg15xt+mfYDZd6HqgheyGu+ea96GbziDyyP
HcpWiZKa3d3o3VDojliBtGs5THvL608AwcDHx+FSVk8MCrguIEHWi7GpIvMRq0rxA9TL3VbEKZ0a
pZxLjRIyRNOanjtNVreOWHNOeKjMSVRje8spmpDp0WDI7qrFQDul7t6JWKfx5/6dCmwDtg24mwiZ
iF8pyQ9VbL+WCXbTzuAUY7DKXZpUp8yo9sXS6JvSme8hIWzWYCFwpGEJPJM6Htt4ls6QRXrPOgx1
YtzjukgPpaiz+2kh3Cgeb9roXKzYN96Ncag+ese+xdOEN2qczH1UoKZrAXnsc8OKHwvIYJ94atG/
ZKkfprr6saTWhCWealSUiEuMFk4o5qnxbs78OfRTKKH+4lh3ROLeLE89TDmT36pOjU+R5ARHq1z+
YLeF7DHp6VcJVQvOFecXuNjNMLzqZVq++AaLcxs0VCn3RimDHMgVl8I6BIKrI7J6uhWi+e2WRk2g
V9vfyoWb1NITCPPZAOTScX+kUVFvDZUPsIKhSWOJ61zlXr2x68ZBExdZp6SsfiLFUhBkpXn1rfil
M9szue9QX1X3hfC7PxUqt0KDEcQ+MbIrGob4k9lVDYF/7NIFfEILhhvBcJiT7/hJaGl3dgb21gNK
9sxKRrxLwkS6k0tyVsVuFAWQZK694kA0/aFzqqsrlvFpntsH1yM2QJTNQ+XIJxlLeOr91W37aRPF
yZfDBheGK250zT9oaXXieoPSqasEes5gX72BeoHjKDlLgFobrwO2hvLYRcaZX6KOys1vymVvDwbH
X+pZr1E76duC0epnieXhHf8eorAM6gCJvWTv0cHDd2tI1KydX0XRmwFt0MEerUO+MrRV6x9a7p89
eSBDMPo2MZNedbbH+GVoGu2EYP8BwsWXSwZkqBdetncH0O+VAZ/f+fGc7LMfxy6oJ0s8J5mp7xyH
MrqrOYoihqS4fLjYkmK66C5IxSbL7zXOySjSxcbsrYOhfQ4FMCttAP9nu4fErE9Tod07pZt/knFJ
gJeZ5kfPHqlm2QWs9Fty0SENHpLRsZ4dwQNsOK2HeqQ/oy3n4cLsEiD4JgXBMr9VAoNQNMXZhOt/
s5d8Cn3GcwH6Ye8MK+kJ/kkcOkiGEFzVH1Cu2a8RD3XIfOB5+NPBLKUGZytDVEsrXhwD3ehg19dk
FgNZcPnJSppfCphr0GpDe2C6UWVBQlN3XmKX1ooav9wOCwNSBPp0z1YLldojn/TUrtoix8hfRGd0
lF8mWla0ca92LsqLJkiubjvIOb0o+ocePEy9xTYThfYgYQokOR1qjpofjYkp75M6xpVi4MMaJSVH
75TDpeKaZ5NRpEDcdFRHejJfCsd9aQBFHywzL74QzbfPmeaaYbMk5U9bWBBR7LncicnOtrPJZLKw
1ilvpIqtZVoRZ46V7Sq3zN4aGIHvtVWoTxM7wiZJnJ/UVPox83IShisBJzCFR826J95JcsTI0NGr
AyIWtRf4HNc8J0yeK1kwyvFDwKhavjJZa3uIclOAaJZgZEId6ke+GlwKOS7BmPUz2mh3gs6oGm2D
7FU84e5BQO3a8mFMK+sRyTfC71abigO0GFopNZV8M3MbOLaj7q2hqe/pxr1LVUIL0f1enCc27iTL
ZnmQeUoxPMbBgmSHAqSqWEBJ0PMlo9YdNPWEVC1Nfx48I7lGuQnwSBPZNSUrei4IVvaitDulUYxZ
ptWK4Q3izXBhEzsfbb3Sj5BcnpK8Qc/D0xIP/bDzYjYVlPMcragxx7MqzTuzFVzYwzjZYS8wrG50
GHzbulnGL2RH9Z4SptyUhi4PAiDRo5LLm6UXV/wazU3Pay+0qownMxbTfqx643cTtQCoDFDfNzKX
mH1nZVTS409d/jTl0xdrKGCGRRM/EfyTbxFi+sYWRNn7ymkmXCBihgDgSVt7+maPjrEIi7KCGbp0
jGAm7Ki32WYYbmYx4jcPr0wi/oJdJVfUwYDmHc1iQ12l5nuk8g4/TY+CmUiwK4P3d7uo+00S6V+R
M686cRiP1JtsXOwlQT+YQ5uf34kBufgRhrfRYd/cDGYH6WYGa2UtW70TFqXowOJZNvFyAukvDoNI
9Vcv08g/sifDI8hIs6djQ3S5vwGe7m2ilHBEozNi4jmYXKB48A5uRTyDBWkHuxZALANA17nl4T5H
vUzustieHrFhWa9ert+xzAP/iI6Qg7lZpvWcJnitj8sk1JyaPJw6Mi+jvgw8hct8c0RGdA4G0Ieq
asguxoWK41Szdiw8uRMdP7V5IfofpjRkghrTcrI1aR4ipbXkeY5nN7W0vd6Yxt1ciJtHGQolaoeP
aEIGOEXP6OD+VJRp20hRJwTpSBBb60tn3+LKX+2YGqp/PCEZK4RjC2GDHQHTaYRFmKdNLS6DqYtg
ZvsGjeREms8IHSgrHdLukt4bL2yJd1HrRgGTwSC1+DvrgnqbvQ++ROJbC62ennIjii/dFJk7pUXx
cTHzcVfTh7xjWAmhsKBuLWV7LsaZMsp27l0dLJMU+XPtoPdkK8X4pB69o+tgxgsmYV0jt7HOph1x
fU6dfup7qOMQsOa7Nazapwk192bdF4SuxAw/7fagMJ4QK1WJHWsevuBi+GTB/hu7+nsuEypc0tOJ
tnwnpkfDZ+7yNk2FvmmkwVyiizp3nw6qCXLYBig75cdkOoEZPWtGso2WUzxW28Ex4PPCHzAe7Kk6
IvsnBQFiLBG9vr+Hpojfw2gefDB0xJ/eNW55ZeF2N/pUwrMe46gm5shm1OI3Giwat1ahW6hfPNKr
K9B5KAb4/ZGvv9GYnfyRIhyADsfNsK+8pPrDDIOUZ+2pJFyWurWJf0cuX4SXuztMnz7B8a25GTnC
XwFJnshWfNSdmhRaO/uDh9sPmbmXvwpZiw3ow2br4pjBKDl9GWUa7aIxeywh5IdtHo2vLoyDW28i
eghSePiboYi3riEhGQkieu1HjRhkcrgrLT3rpI0JP/dRLlc7ZiNYBTHe64pd1CIxK7lWS1tfDze3
N9wtaZTFyWpXQJtzwbeDyixVxCyq+WleIGbO8fxmtw4iG738Y7QdKRN6tE9qkV9ynD5SG739yDj6
gDSnOWOt1sKhlqdZzOqKkH88AK7hTGENfs588Q40KfptMuUcYYMazLafYzdnA5rklnEei+6L1tyA
eMucoMtWMw4W1h2O7qCi/l0Njol930Y+/7pFBFVvCXQqIcApcKgMb9P6mzZYqzaW6JM7PVk4cljL
Wd0VVnu1wxA3Y7gSmWAQlymjwVw4yOLL9cqsC6oiJf6LnCnLDADiw+MkFESsA2lCdshASZZ9ZDka
XQE2bnI2mrz+7fa+fasIfcxOkZemKiQx1Xs3BqtDs8xA83vyWxyojdkmX2QCTyezi8eAeGrgMpMy
6emzsv81O3MR2Mv0gedAbnhWXnWBHBkFWSpPnmY9OhWgqkzJC0cGszbEiZeV6/+E0zpGwGbp+0zL
dN5V4jriuCuexjKT56VIfAweviNDTUb6dohQDFqazfamzFID69iMOZogvdDTY3nW6z7Fx5i6RxQh
yC1TL0bwbj+oRTs7wv6AK5IzUQHDr/tEtAPjmcXv3uZVQrjGLGz+UUlavCpGygj0bOzHGsW4pVgl
133LDnomegctC2sfQl3xmXGe+bLGclTHcq9348eI2RBvU3pcQPSH8TzGj5ictg4bLkAjHEMEQWUv
Eb4VXI692EVsyUwqME7XMd0vThdmojy1mZ2fhoxODxfzRjXpsIWlMoekUpHfZLLnyAsm3GlP9omT
No9G4zJzkw/GpPvfIDWmz460XMJtuf82oE1wl5HBHLrEQCBW6OFkDmWkHgo13xdOyrFhrcVK5t7m
vsXfDOVk4NDLR2o5c4+DXx6xLbzQ37zwkJpBix2xsvR3aUah8OJn5S3HtvShKo3WH4ZeDV+ZYxDA
AuruKsssD4E68FhETvsMi08cLV3/HY8zI6PBY9w9WiSx2gl/qwjN4CRAgUzOj71wGzeastDboz1w
gTKNtc4AOlp0ioKZJ1p5zvLB1L0MjQkCVmRlCj51VG465EZbV0lWNpnhHPAnbiu3m5BaLG6gkuqx
RVYXdRG7Ip+mmePeIqGeJLV6kuQcLGAYtXEhzAMHinvfF3hXC0T2O3eI43em4JihJhwp9iTcN1+r
XM4YPfqjMvQNm67QcCjOEfcJ1/m8MURSPmaNyt9Yu5XbhYKWFrm8dlPyZ1m5Ern2bdQEOONhSN4J
rflgNK/2oAp/ezzdXOvYc7TN0rhHGBFsTzLS0g5RRR/dA+Xb0/o/I7lFJtlS+lSJ95vrDw90HQWF
sYS5F5XXFInVmek7jEu9a59sNzOv6zfYi1gGTmvB8W3yR4B3CAabxV6DFMm5A0aDKi0nYAgq9saL
MGVBT9nXXddtxeAm4RIPx85dQxGL7HuwxYs7kWoN9C7X8DlbDuNsmTHdy2HgN0X7iyQmFWZ82JTM
gL+xbrKbbUhZsUnU4YWwiztzKgZa7eQAExR6lY0CfGm98aMbdfFkWL3+a0Wjb+K+EYgOTfVYFhlR
tFlGNJvHbsM2pbywapSPsB3awGBF9YAYWl1wKIkt9q8DOdE+XqUYulGiw8wslzp/7igUtwUAoO1U
+NrR6/30qYeCtuO5U/3GSmc8waY97wpR1FvOPWurj252jt2G8EjN/Oa2JBUxHbnfW5aZG69m/OFX
0b5vkicLzcnZwpyiuW12qeUAlbWW1LM5VDGsVRiyQLe6zQ9yuKNBaAvKlaR+aSWIWL2zsL5SvzgQ
+4gvr6IWwZz5qVwUZe3kbYs0Nm5mrFffJeh4tMNWTmhZnm9LQS/Y13p15GEsb6BsnXM0c+HXOlrA
In6M+MVPMQ67OVt3WF1HfKPO7pj2srTPft5iUClIN67T174peVt1wf1l9VdQMfapcZvxUFe4XKa+
fKYt7AJ7NJ81wpOxv1T3JbmisHZZD8Q+USyCbmqjZrZVEtSw3U5ccViNWF+rkBapxJVjRvRI2vTt
KjNBtFf20YNbYXaqtVLft8x8M1f7DeG34K+WgkxTab9J08a/mojhFubopr36aqarDUaWw3r81Sv1
0489aVglPTqBifyp6s2LJ3wFGpNYM7e6ewnKfWrlyY/GsAc5iltYbhEQA8FszOdGFkHZp+emcTE6
Gum4PMQrGp5LvwoXsyWYUAcYADS5WTEVicF5GrVIXPsixqNH5qFwecoyOC10DUy5Nas7IlSjN1MP
/kAIa9JVl2RoyAZzkyuZkTpb0YJs57ph6jGOBYtgYb/gw0sO8aild1FTkmLfpoxutaxlKkpw2amf
mCn7tEdTMkP/afYxb+iRT+jOG20jgE7AZFe3gsQscGmvqz+bJc1h7CIbuk+qfmNKo52e4v4x85ea
mnWAu5dWExNTM+pDp6wQ/I0kwhI2Kz4cBoJnoxsYWPfurittqPT2mcG2FciE6sOrWvvJI26Q7TWS
JruvSHaPy/LsSZXemsToqZC6LFg0CKjFXBobvWH22xtLfKgL474p/fasZu4r6Uz51k9yDHBVp3tb
Udr9l2NkNlRY931cj7oswvrrCsXCwmXfWJRmcbRXoB6GhPgcifZkEEKwB/oXlpn33mEt5LeS3Kyk
FvZZpMIm4ZTNZs26jkvO+Y+VX7a/O1PwicxBPzV7LHuPwlUbQhIYsOGjhPGBmZ4Pg14YNXwEcYQv
KFng1Kb51fEg4tbGG+FxDLObJ81hipLMPJ8aGGuH6W+PGtYc0x2Ynn3UmHugDBt3MG795I27akAR
bfoj9kxYk3r/BOWF4KTaPGady0BtwEIxbIuhDFPeo3LV25v9Hhff+vqzDM4l6qZs3mUFqNmCe6yD
fLpZVIV0gHxgYDqJZnyJFHYxb0rqsRyMcZq3HS+l4YQNRt1y4TeXPeLFMaGtJK/Es460A4wXNHze
QrB/BoIO7zmN8r1BoXlcKtu4MyEf8MwUVfICpCfbKK1PQuhSesCg9H6gWd5nWT7dZB+F5lirQ+qw
HWKsxGeo6y/LqO1lNZX3sZb0gaE8jivbk3emaqpt7XdkD0eIOM1e6Qd8b+khY6x4NUbzQwjAt1pl
ZEfeDTu7JHHR3FuIGXAZpquAUlH5V9xmyEi/JtfR9hyNdwsola3GUpR7237pPRYnyBnzN24LRAIw
NAF1Rf5ettk7gd0FL6XMw1wnd1N0+o8HXeYuERhZk6lTNI/YKGxDxYyshfu6FIoXOGevxyy9mfW9
W9WAPwQtuPVu0aJUVbn3zRZfJMedxwDCQi+sGsFefTaDjGMxdIi5igiLRl7Nx+Elv+lbwrap9sIi
niBOupNRC+R9GcFocaKGhbYzNRlVRrjfmYvBNjGOVoIVYxiJVCQMcvFqf5vjMbYB8lQYM1E2/MyN
v5M2SJjBlRy1yRIsunVd3UBeREHUdfIJFYqDx9UEbqUlwxWcy87RmexX5qMwNOOho6uju/Ees9x7
0+xsRGfIVDbCSE9ahmKfR8naJv4934R2V9MovFvENEebPmq9vbJLFDfwd8zbyLxn3cKwlFdbgeKr
/mPR1rFCJO/iAJCiCzSwzMcs1QPlSCb/k59U6wL4hU34uYtZ4psG11pqzTA3sSpfCHJ8wm1SnLG4
E7PpevRKCpMs1HCNKgbbg5WfYzr8Ko0wkbv37pSQXdY8Llryq9aGPRDAvde694ktHldHJpEekjz6
oQMTZ/hPMd5fapLBDY3UL9iwyeWM9R6dk873tZkcqf8RpFgNG4PUoFcDLHGoG9IiHwMjzwseOpXu
BynjdMciWvm3AksfJZ9101n0MaQWsPQhoc3gzmvFQMbg1oOGQgRe6izYLSvgVRvpwCkE5QHudwPg
RO69gTdyu5jN4j777QypBmPxsR1i/WVKpjTd0uc7xBSolNfZQfP86KDjRTTmQkTpl+oh84r4RCWJ
9MzHKExjx7k0AJP5kSJCrhd5G6D0W9D25pGmNAckYRehWAebBhoDoDEURJo9QP0XedDpxp2oWg7R
mle1JG2j8qOnrHbXI3aNy7bN+AhFtr3K1SoqEn9mjpS+oo2T29ztX5GP0RIAaDpWbRE/zDlXs8fW
IRVliLjrRyf/d8F5BUgZzr/VNQz5F6IhXH8gdNFNQRx3tQ4xz3meK3mvcwxN/fiQ8sAFMmpPdV7d
9Mm8E1n1ss4/d9AGq+MadgIqBLM34SEQKlTPjqtK/BeEr6SdT9qtzYjg5aOUW8UmjwV6+4jMjHXm
Ek6M24G7xjuAcHdeFgeYalgNEwO3rQzs/NocMhYVaG3y5wwYzh6cwFOlRQtbYgE+HTHzBgckIy5a
dggkAwOzogGVUxNbudekrzQMMpPcymr+wqlFuKVABN04Kg4syWQt7ZvLIKhXy2bJwhhlPIkAc/VI
PemehdIVt0+pgbTm7c6x8fBKDfGutqFbVGUaB4o0oHKmewO6tE+8aQoFGagBHGWEfSaT+lqL2YEP
ts8rNaJ4MpQeCAuIUr5Y5m4GlkJd0pzrutL2bVb1Fz4RsUmsvHiPlTQDsdTehdjDftPU41vtWuMh
BbQXaFFXbfV4RCa4tMuebZ13S7rmZ2CZsCnreAwH8nDvtaEzNw7nc8j+Pez86LsoFTWdjLclsq2D
Nvj44oe1cl2NRwxooouvjx8sXrsDmk6uT6EBKrAGH7Q19PhxcZnNL2N8r5jHblPfcLbEqiKOq2z9
hpiuDVzsQc8dVcuJn/WSWHiWFzlrRM95gI2ZIkX3ZAe3BFFwPrRmq+9cMWTPVPo47hgdb0zGOvet
TNqHpsrXTHBKIboP+ytu9fHs6OZy9espJllX5UmIhtw52piaGTGqfE+kr2L1X6QPVu6YZwy0AB5R
aVqbCX2Ly+4cuLfnws1m8jU/FF3W/x4LB3jVmEbeszOY95SRi7ct+wHg/pRAlSYmjN3I2yzbqQ8z
hG053GOS2TWWwqwr2IFuNX777dCCMJrhf/ypQAo2H3XkzVqQIwr+Yw6Nw6GGlGsj/RkNX+3YKHml
nIxzZ3UV9RFhStDKhmTXz6vqI+ch9fABWfF9ZpJPX5slYxkPItfqRo996D+NBIVOEipqWstMKGSS
pdC99YhGu9qC97JqseN9brfKX75rZ+73DuDBTVsINBt2QtVmy7Q7OC6sKowPZpnvpKBfSdTiPyjX
6DAxRPrZBpTQhAj3B+uY2aPh002iB9GY75GGPZ2h7z/XxBzcyZFyaB6yy2j79YMxmArWqPqsGvvO
xlOwweJZBYVnNqciKzTyg1hTFxX5IMA5QbTY/Jddhoh9tRhXwgkg3lagDDzj3kqn+TBUVWiV4q6E
yROJ4U1S04JeCy1/2oE7O+t8O0nafFZ+/Jq2rLAlhE8mAZfI9Y+TykPdZK5HbRjW6URCrDFo2U5x
O3YbVFfxqYnVEIgJsuXAhOi8dHFDrqS091RBXggqzTrHqcPPRMG77oyGD7Mj77zCeoA3ROwMeApo
BimBfHaAp2GKncdGsgAFtB8Zn51IFbqGOhp+LakmrmMZpZ99ltIfAc93wVRF2H4tXQU9xa1EMgJ5
z8jr/o0C7MHyoGtQtMTegQDYYZ/RuYAyWkNpaBp+3CLJQgbcj5VlT6tn7E6a+g8QFjbR2lFPh4ue
Vjse0ltTDwG4EVR89kWr2qeodL5wNnFFlzZ9Y0vc4E56wG2mVKtfoCa66JHz5QY3sAtMuMRIdYt0
nxbEFAwTlzYie9fcKo8Qoc+8FSwGwKS0QbuU1mertcX71FPZyTiBt9aagGoGLT9aY+mEplnidyuN
OzXC0MI3Ip2LOzJ6xnPqxe9yWZ/SvHJ/ZaOzbDIC1o5MTDAuJxb1MHeiGPu7QurmS5HlFPYyQeyD
RfiMtc1muWBEO0vTzHfGrI86u6CTyHk9aBC036SQaCifk8oH/8ljklXzSirE4T85pR+Qp7u8ycRk
7MHO+AcFRXW1izl9TpDLspbQyJc1Gz6P2vgcHPO79ql+vaRM78yofFe5sq+0K/OrbprRAQl1+zAj
/tl3qFi+XHqEo6qbBs9Wbd+jrjfPJrDcS8eHe8epzO6izXMm2HyTgL/Go0iz7KtvfRTBKDP8ycC8
q5jyWXOrLqW5yFuhzUUYFy3RGXEati2xwhXoldd0El+pHPrzMDJvdnNU3RMf+C3FFLMFJ/pQkPQy
HrImtz7isiOdiJjUJ97XgC1pSWfp6qDI3EtWjH9KZzwuBN6dZ32AYOMMKTkuqm6H0LGnn7FEAZbk
M1x5c95hDGoxUUMMxsQfErpRPfiqRtKPy4wby8BjNkCIYWFt7KKK9DbatNl9SoFV0Qk7oPNB4m5N
kb0i1XQ+ehuAy7bGmdv1nvotOOBAyiNAppXm9WLIz5AKNkS9T4RJAt5I4WpY6VcVaywSRts7ubL7
6Ygl6w8MoPAba0o80YGZIRFfw65K+XTwsH2kAyvGUUt4bTDrb+tifqk0ogZ8xkMB6ZxHE2rZjXmQ
fbbofJAW8O7P6fIuJIJMlscQ7TyTgD0j4yroMIEfutH9kMr3L8W65vCmssRh6dqbJcY0sAx8qWWG
9ESImPObLLXKteZgMItfjE4ZAi+lbu6Y7CHFUjPKEVzUyZYMrmWleaC6L/AaHvrKYfwyWR30Zpa2
B2sYHBbq+JVGsYh3eg82xli3DUud+8ZEZ1VHtjq4uhOdjayx96LXsmNCI8v0w4iOc2EDHTHUsGv8
9Oxgs7mZhDAxn6hJaRwF0YSeCGqdsY4DKXrjptK7j5beQGYitD1vxMIKaomezZySo/T8/uQBWDlQ
LuSHZfHwTYNE2APvkp9oAFFCmsx6BVN16j5jvjTopUKnldyCsfE6wDTeW6aPmndkysi5rccfzEwo
jNxWfypY3gdgdkkecAnVzjv/BPSxCspkuoL1+YYTQwRKVqYXlqF+AEMU1i1qiRrLNf2OJVr34CXD
EtbIIgIiE7/huP0CCv01qThDJteoI5CW6dBrtgqnBQJI1c3PruHNvyap3aHAZiAt/BeVrOFKlf4+
+ERRRdQGQaKv4uHGP7pleStz+8n3DTz2oiu33IBdMGACYrbuvECxj/dlGekhxLZHk2v6Yeyybl9o
dhQaUk8PluZWawZRgfsN98uLWdYPqA2cIGWCiGp23cDOTGP1dPbB5WQ3Vgjh2OT2c/PXw1GWziPM
mAoj97yEFZi/wDSZQPkpk8ZN73lasMzduNVbPdB02tekdbe+ssTGMPT+iIYzOVBrc+y4K9XXgiKH
7pdxXqU1h2ZMALO6WYnWMMFHomnOwWlT54IDrYS1ib0AxW0PvUG0VvmNfkYcksx+j8m2CoYqu+pa
ot+U0oxANnbE52LO+4K7Z+frWCwqh4oGWQhtea84b5DgTlaTbeMFW5UCwzq5gDZlatT3o9lYd52H
0t6KZ1b3Wj+pX8jGx0M71NOF0qtlo6Z9L4NcZ0NgcHmoSZwiyNaY04K50lprxcW09xdrvEADmG9/
mdf+V/EQd/VP+dS3Pz/99bP+y4H3X468v9xl//1P1+S7ZXbyp/+//1//H9r4mGv99VH8pz1utQn+
2/53+yx+/vWPG/Lvz/nvNr6//sC/fXzGPw1HN/DxWcJm57DyV8afrv/XP+x/Yoz3KNFN0+Hf4Nb6
Lx+f4A8JCxG7i4t/9fjxh1YKjfzXPxzxT19YviPgiwhXYBj93/j4/qfLG/Gv7viGicUQpzUicGM1
0//N5R1RCqMYQaAEPkr/djUeNLdyBMBtmh2E7kVfXJrJH/8fzJ3/afFef6yLE9HBw+p5cCHF6qj/
249dLDj9Zru4OKK08qV2gB/hdumOf/sW/m1a/DsC4S+P+n8zEP7zx/h8VBYfI2Ahe7Uw/u3H+KXS
mlLGiGZY470ana09ObMGYTDJFSGjiWM+W/0o8GDpvYdjp+jtp7znnUFu3OGJqKQOa4T7zbO2Vuf6
KwmdEIUQlWv8rf/1CQHqnyHRTjRhAbBQTA2YsjhLSr0wUPex1UEL1VYL07RKn3ZiHCT+E7ZUFIC9
hJNvDkYcwP1jU+5MimEcEgj2t4PF/bFGxarfUFOKhA0uzoLtann/TOWSPvt00XZA1mIWn8euHJ9k
y4YpbCTY2R6RB4Mzg9TejXArVImFNWarUMQphhNaq+zJQqrAZCdir8a3rPsFfAaa8/3iIaY5oP/W
MUjKzDi1ncjQ58wIvcJiyDAAG0keY6urkwop7NjeNBA7XZjmTpUHRdzHdvB/yrx2CArkoNX/g7Pz
2o1byaLoFxGoIovptZtstYIl2ZZsyS+EI3PO/PpZ9JM7oBt3JuECHphssljhnL3Xzmr1XKTsBSHi
juV9ukx1Snki4knFApqNJ6CjTN7lN3/IgPj74h0HvDdtE1MwYx97U8VcGjLmgF8btM37QGOPaDYY
NBW42VjE9pWRpg4jL/5ekA/IIQB7HW6gGQ5HWuSURBWkvU75A7eDVyRlZj/YzTREvomg/KkNdcjN
3aK0T+7QsckLCfGKbroe0ui2N1bwTB0TxuEV1H/fTLOPfhhLiE1NWP047m3DlH+oM3TxTsM5s2sI
0xjAAQ76p6GlQsmrCkF0pS2V8mUaITxB5gu2I9IBYI3B2oRrM41qb5BUETW72AWNa2Oy3dAJZwdm
yFL70g4txkyZuyR01HXX3KU5oQZbE0VMsBaz4m8o4JNr+dRnXpUrXYppFv9rib/f8L/f6CyRP5u2
9PKRrQqGLkhl2aTtdJF3+7hy5ZX8mb/ZtkeTggurQzchRMEaWx3X/04KMqVlhEFPenSk7R85yiO6
TWyrNOz9j9AuSeDOwiTFOx+HLyX0cvqhZKjT1HSrL+w/CoLhzeZ1MRvIajAJgbabQowZGvmsfjOC
xY4QQpZiNwJd912FHe/y4NZPZ09bAHUxJWJTtv3GEZojBAgVFktgeCgoHY4OYRvf50VGAFk/DW66
abs5eM5iuGm+GYulgC++4DGOCVhtSa1r88kroonWSxKwncfn2UUoAMs+xLlVRYSbF3ULbdOshv7e
CpUzrod7dmCojvWnPJ7oGXVO2xeIXMFBXQGcHMJU1i9p5eqhuAaOY9jCPIKpWK0C4tVkJhVNwBVd
IApMHX2xh8YrrjxIKXjVh0PBQecKjmdF5JAsvD7of8Zeym00hNhqnq4JTnkR7ZQAj6FdJluzJTJ3
S196/GVGRvUNaXN871hqxFdhFKm8siCersMO5FxXODrIGscVR/NHSaAD220t9CHC1dRrdZM+ANK+
vCYPb8OJOd4iYy2uXPXvAnj4AFyHocR9g61Bc7g+oH8eQFeAmc2RTfigQUjR6XK1ZrTDyH00Aq2h
PogGNPVMghi3nEfpnwxp5DYYt0z1kNUNttpe77XUg76CH2bhyDZTaMFlBC4+NJ8MmB9oGolkouuq
FWmAkdzQm22rB6So5Smg2wEKMJUeoYPqicPMQHCS5lytl8NT79Dm22Utq9ZdUxqA6COmIfwSS7L4
NhJu3L92TIs0RG3Fzhks3Bf6LUBflaaRDJsttoDKOvfxXuYBUa8od6vbMJTI+/MkyYkXNjt20gDg
b1q3ULj1qHujAK7ANV8Z1ifTHNAexT6GFwx0SqqjF9xFSxi4QL98PR/c33FXJ/ua8JX7KYmCnUjV
tVj289cjkcRhh2hhPDx8sxPLAsjDHEVQS3kCWg+JW1btatvB7BT854wT4uVp6eTDlUKn0MvxEPiE
bYmjeXWe9NAibyDzKdTlfK4RKuA2mu/XpuDL5UvJk+V2vRbGC4cANCgXx/vHXGZtmbIP8fHJjg9T
FxOaoRJ0Hmnfd18rYIzUbDSTNOciqD5jxXJa/Gwj/vl46PU/V+7mZD7mbiSzB7t1EDS6e/JurQBU
RUX2go5+/xa35fw4knW8aUxKxhXF3m2ZpMuvycFwH5tN+0rB3vGXzoo9Y5bhQ9nE9Q2+1uzKK1lz
5w4nOO5Mlzb3ZtuseH+3Lf9835o0AzioZuobU4zMpk1L+dHhOIiCYe4o5ATpjJ+sHlkftpA5Augu
Msu/LVoTI4OsXHRzwRzIxtdNQoq3NbnNzyKKK2dPDDd1HVRsWXefzbbW3Fx+qGdGE68XqJZuGcZ6
fjocv8FUL4kxxq6X0qbfV3Rl7/mGxScBRvo/LwMSbOQaWCaZIdguHl3L6lpIcVOoeZnetq+aaAp6
UWH+fQ5j+eioLvwWWYt1W+X9sqPv5PzAKqYeLv/eM9/rej5kEPG62EMefT2LraYhtCw6T6y4pFgL
Vb70FvVo0yI5gKKas0RXQGly/TsPZv914oVCzuOVDmLBozkCHFydauTAkgWErQvIYC4SLxOqxhkC
vPCVVKHuKQwyKKgZuWZbt6W4u+3RAND1K/KJKpyL4sELUWkY3pjNNUYZXLbbyojt12TpFw4OlSBz
Ewpctbv8wKRx5u45CLPtNi1Ub3///J+xXcL4WWcc5H1dgFwsXkoybq2AgjtNUyvpEepW9rhhfVED
TMg4KDdCGIPkgJZbPwnz1PKdLUajgWM/6sOV27PXh3f0cNmcMT3xl0Jd1dcB/s/tqSqcwUcOtsf6
uAR3I9ZqzUtBRj+NwYgyAxiT82yqwqTsDu74fuwdRT7TYqTNzZQ46Mki6rW03SKX1ADCchIq08gp
PbN1ksxDiY0fGJRU9ZjNLR2MMS2a39okOxZIzSgnOASLSYA3Jwd0Q25Lw7F1wQO/GmEzTV7fR9EL
oUgV8HauMLyPYTxFH+LF4pAQY/d/xBIwvvRtp/9UuZP9cSsBDqpmH08fpwKVuemrnFZvJtwM+Uml
pSy4oek8zaB8Pgf6MP0m7ituP5hhxLlmsLWO8TIkIMfzMK6tTUXBjPnGiJtnlXbB+5LYAw30OrKo
iJnDHj8/x9clCPP3uNKsX6RKtL8laRHCFyLCSmAvffYdxGpVbua2YGkjGKaLkeHlGYO5c2bcF9pq
ebGDaHoLKct9slTfp1c+ozNfLh4TR/ABUeIxraMXHaJ4VVRLNI9prP0QBwYIDa2wVvttsXIX9P9j
umJ1ZZcMGIoVV6wfxj8jq6uGBO4LqUcD2oDPzTgrryeEYEcShL5bGrUCGGbbwPBgtz9NYKi7SMJw
v/z5nZk7LCZM9hbrzMGu5vAm2M2oBF0r7tBRKmDnOMKaYqCPALOZgqP7a4K69km21EdrsCVXnsHJ
dpnyw7rQupToXYE47fDqDnnWbqrjcmrGfNXFOKUXFHL52YFFUzKcbw0tHq/M0HwZ/K1Hn7TlsMNB
TGfY/MPRfGk2muYya2heFLqkUKHgRzKy7Yua2OpmyTgycbTq8UON2TjswaZbOT4h1bwMSY74wQFA
BI28ENp96iRRtulKtmhebjmY9Mi2VC8aGdCJh5xJ/CjTLKF5pM2IGcwlYFJb1KovBfYNlb9B/jyh
d4msPQ+Xrk5AKRy5eYKwW4etgA8md1oAOpnIOcjhES8Q2qaLuZqU2hcJBQ6tHwiTpzHU2teydtTv
Lu3yj13WJM8tXC+BviRx9U2XTJm8qZoyICIOg8yNrS3LL5PZM9ua5pg+ql6LfmCLJv1LplNkwLJJ
2EmTJTGVpGkkOlATIpMQ6wnWNSdGE79lX+fo+FCBwm9sd1ncu2GMxm904zUCjnMlvgVkhgov1lMS
5+qoHH+IOgCkNM2N84lox6nfIBFCUQwEov8EG4Goqsko609lGndI8GuIGpWlSqgXSTXSYTIQ2drT
6BCil6SER2KSJ9+8xWSxtcgdaeB1wi/djFnRUyzD7omxuNQw+9edhSyyHgKlIcswsgc0rk2/TU1b
e0OwHv0CWUyKjgUg9DGdi+qN/vk4cqBZhUnDhIy3X+l+hNObf2TqRPjhlcqf56izXqu+RA+i+vpz
S9jPF+J6cgzpXUD6JUFthK2w8itnM+oa8OMcxc3XWepIhEGDuVAvzA7fQUapi3JlXDZfyYYAeB13
0jKJv1q0lhjGwnmBcIMgc0kq7QPeVQJk5MKuyyNyUtwgJ3HTO8uahdgn+IieyNtEG6OiQiKAKhEp
mOlaqwzHMey/X55BTudNCbzNZgeynsGN410ziKEexUVhe/OQRD4ro0VUV4nLMcI9Ltxx9C9f7/Tr
lQTlWWRfKZOioHE0Y+URZpNWy1mQc0QxgMmXZ6DvxsdW0jm5fKnTnybWQ5dFeYadHGXBw+kJ0ltq
orFkekob5wu+uvTRGWkBhc2AsnaihnD5eqc/jfYC5Uco//QT2OgfXg/bVm+XZoumDzfi1iEMDF5c
SFRQYWm7y5c6rZn8bWWwZ9RpW4DNP5oEySvV0tJMXMh5JI5vpsw1PxSTo92OySxR73XqdVEhvmfA
FeM9u9r245j2mK0u38eZFcAx1ocraJJw5jxaBI1SmYuCTOA5+oQktm3kSIJPqmGAxLc30Fvs+oLg
iXoOh//j0krZBhVEwzK4hcOn7TREkxguyJhoTvO7MSfFs6X2h4tzKO6WfAaxrE3plfPQmZOcg+QQ
HK+ganlyHtIamA3I8hlSk26AGaOHwMK3ENOLB5Qm7satGuspH3oawW4XX1n7zgxoxjO/lRvgJv6u
jP9sOfTSgkGYluT12bb6GTew2wgV6FEpJDBg+qqt3i+/Xs4fp4stnSlBJUFncDvH2ypdoGBPlzqA
pWSl8Y4MSPE9JAQIolaDj34/uDM2GFy+IXKOiaASZErStD4O5Al3noud7RfqezSWs96X3xeOXCSp
WUJzd45YJ/CCxmyK+n8J82026gZe+nCJnu2ggUPSD5wTGkqkBBSxTGGN7cK3mN1+6Y8qbEJs1pPd
7Eq3tt4E1LQJF/HESjeKhNTchE3yh5xdOoFEwJO/lm43ErzD3AQgLeoSvMWVAsdHWza8H2wqMv4a
3zDSkQq6O1kbM36yPsyYmcdE7GdNlhPS45E6XUy552fRzkHiD7GO87CwHPpnAbSEkZ/f8YMi1jsX
Q/h32x4m8lD0nmwmrc3MBvllz/I2hWRgI7t0UFpaoTO+omIkbCNaeT8u1ntSdY0l7Vc0ufaSuWkF
Z62YkhqtYhfQSOgj7TsrSIdeKYLeu2mnRVfYVdOl21SisTSaGFH3uxwH81NjyOQPG1nYxGMdhuHn
OBFdAl4iqP7A5Q3sLUFO/exlpTF+tro41fxpquYafJjE9AZ/pp82Oax/NHbgjbRtgsQrfKhGIT7m
gVv1ngazBUOLhbYmoFTIcbBJo4yoZrv97cayjjeinMTXgpYJ5UuFnRpuz+jcBTXKC+SFBniJYQmg
VGBhruqvU1aPP5l58NIjbW6xAEZTdWtU7Fk4WKF73kh2Gs1Gn0r1i1kH1kOqClhqCLHy7MmYI1TH
9BCRHgZdxd+SxwGKNPo/8LskeZfWlpws7O054kfyT11iNn3RhVRbaT86JtjEmN9MJMTwbcyzvLhp
4QaiM5t6+22KNVRrWawRUU6IDE+IlTUzt1IU6uNgNMu0J7lv+hGHxEXBPJbTTxFN5k/SFVaLg9Lc
P2zOTJskTfIeEPb2drzPIErUdzFlHg36oVP+MSCUtRQi8uQB3jmAP7NZd/pNEeAXKxY1v2M0n+4r
UxTxh9X4028Rn2MXwxjxUy5BhQgfC6e7ja2JNp8LzbLf6+Rb43AD8YSJQutnuTEqc0EUPQ/gmsxm
NjwVNDCqBiBx3ZZ2Jy6M2pLaGpEZjK3XENFpIsssihfuJANRimMj25ISORm3KDkIqmgI9NZRMXfh
fz9wIJ2XtCQ40jsr5/1wzp8TF+Uafj4vbgrKI3VHxMi2os8KKFzMCU7ZMrpJy/bacntuFjTQBlBT
pY4HEP3wumFmm7Bz1tIUOyi6dUBpN/agppuyK+nsmTQL7NqaPop8gBCqSgr1lyfiM1sLEhJAWq0l
TnYYRzdgw3zpMC/xTcdmcWeC7PkQEle7id3o2+Urna7oHOpsg6gaNjE0A9c//2eN6aquhTaiHM/N
4VnAwCxqX8Zj+Eszl+bGrExjN8x4bC5f9fT3sQuVroHWh/cr7aPfV9Yt+u7eBkaA0/WWpWGmdDCV
HxeHHLTLlzpdwrkUtSBTuQ7qjeO23UzGqqgHClb6IsoPxLlMnl5Q7ek6I32y8bzzAiOrf8NSc2U1
PfMjDfZIClsHHVbrbzn9n0ebwJ2XSYONzrVG+YgCkfNApJwvCw/0yslcqpN1m0gfKiFkLLBJpDp3
+BpBBoWiV53raV0WDu/VHBOUN3Tg/dwo636vLq34Ji5sa9k2nJM9thU4MLlvAq0B3GvNlmQv/CZz
hHL/NgX3e+XcceZhUPPUTYcGqiEY24c3aJcEEJmODTguTWAty3TZg5TtPAUR68obPzOklaHrjkJl
w37xeEhHidklQJswg8IM2OjQodHjrna8etQeC5h6Pn/QGVeG9OmcIRV1bDok2MMUPfXDHwi8PVtm
TbmeQb8rvEGWTj0bzr7kPA3AZhs6WnlLuxfUkK534iOxQ3F15Zefe8gcf+gxMRrckw0jzYJc4uQK
PJHUOQxR6byLeUb3sCadfbz8XZ15yjTCDdJUXM53fMiHv7eh7Ie1vXRWMwz5qdHk4gCKmKyTnVTY
SEGJii9mF9RXNsVnrkt5mbnKgkHOP6xfwj9fVRWauI5n3fEaF8xCZ4nkD+EMSF7bPOQdh2N3E3cx
tMzLP/fMo0XWwhl2bY8jNDs6x05WoFmYRmIWTVM6N/bMsGWvVZQ+KWfdFbXEmTmLX0ixjS2rQUTa
0cUKYWttxYfiJxTWfcKcHLQnynb8IZyzX/PcqVvDHG2FvaGBMPLffynxNVIwNfOQj5vidgqjDAEG
FPHZCT8XQ9vDXx3FBw0p7JVLnXmXHNNZ55RSnDaO27Op4yCUN1DryGUu5YOhKs0PMnKu/ZxCcoE3
O7UhDbfBf/5OdH6eSfUYBYJgbTgcQ7VZZI5p0KaVrWH/sUVdfhWOk9xKkMr7y0/zdGI+vNTRqzTG
mshF0CB+HHK232Z5Am/GRHx15bM4PSvqNJXUWvagKs624fAnUabsdbS6uDaKqHhwHAdUPh2vh5WB
srURme0u/y55+u4Ic0LcR1SRgoFwrBjpOWklegNvxB1q4NRlkrsYDWsWmsq3F1U9BnEzfq7dCDuN
g8gSOKxVfaW51twENH5Q/GtSw4JJzQgcgZGsZvIxwHc8Z8mtKQPat5fvWD93xw7rI0d5E2GieTRz
cOQhsdjRIp8AA7JYyibMXiPYEJCeqLPRnA36AeKJVG7nj+ws//TQ+2wPzwko+MHNivQm1CP7TSDg
6byuTFZXTV3a3xqyx7QbI22Dz0NuRN+E3tYfJ7RCJM6nRT7uEAkNr/mCL8YDyUnwsK5MIBwDpkvS
QfWOQsLl33o6W1EiQuwpGXw2Q+JogEvSbTgLRbGvJhyaqZ47j5OTfg8Cpb9cvtKZnQdCHhYdeoIs
8EjhDwde0s9YDLU09A0KxjssfyRaGoPzDNHDeKSWvTyXoh4/9RyZHlWJjCU146DlfFfNUETByUQJ
qByMycSjepfv7cwLB9GoI+hFtkWZ4OgpLNUAeRDukx/JprhB/7/s3AotfTMky5Ps2HnGKOOvDLO/
osPDfgWfoVwlEi7bP8SQhw8E7T9e8srVPDnMyqQZAP8lJrSg9qpinMgOLCSGGPIVpLEDMa3bLyYQ
pl+66PEZkzxPBgeAIkoowTwq0DB5bb/BF45z8oGs0L25/IxOty0crpg61iKmQLCiH92tLcOwL6lx
tDbVDdWtSbJNPWWhhy0ndu5MYzVSF70BDrNwwUmwZv2+fAtnpkhugboiWmz+83eE/bOis8Q7qSND
NJtLlO+aQht+49Revl6+ypkJ0mbjiQhxPU8axtEEWc9kpXdLQEh8uOBGz0aJGz2dY8+2+05j48Bp
//IVTz+NVeLmKOppDtocAmoPn20OQ6KsG3KwRT+X0KBi4DfmYtcfUEgHO62M5HOEOohIoaq5dSm4
NRsnxJy8ssyaz6RUiIduIew6lvSxLt/byWvX+VgJpGH1Wzes+tFXWye9GOoGzDNp8ZSOevb+b0sx
Y4kQYAXlDXg6QJhsNMI/8GfgPes5nrIrN3HyfXITSIV1R7CtwqpytIWcw04Dbj6QwzIVIzK4fLlF
To1Yp9OCTT7M6V2YDIl/+ZcbZ346KD8WL2QMlFWP1TmdHo5aCaXCh57VUkdTaql37FthLegGJl3f
LUA27sIsMD7paRD9Rm3Z/rSifPwBwQXsU4V58s88rTkdiAfdYBM7DgWvZc6C73opKgwvQABqHMLZ
+Mcekcgz32dgbkMiGz6Og2o+sonFg01NEgh/kaNsxuacOzcOoABMSpMx/TAtrD9+24XyORtEZsOI
GMPldlAJKGMVzjDOUwvEncF9Rs/slAfzLrMJ8biyfznzjrBoogniK1y3pMfvSGlQV40Gg6eNtbSY
8+apw926U0rcc36LdpyowSFcfkcnMwIzKLVnafBfua4uhx/O3E6gqsqqBY4StfuSqvG4qSYbXcnl
65y2VdYdk24R8yT4N2vY4YX60aqqSi78OseQH3oW1S0hN+GNShrl1w6UxcRt570LEcMLzX7CBDzJ
L5dv4twTZgNMfZ8vgEnw6MciETNqUjcbv5FkFWDOn+EMNpiQ5tbwU0vVeyTFeNcuX/XkiMGXJ2jN
UTNg6qd/cPjLSabrEW1OrT+RbHRbLJhRclxTt1aEbTjCvnAzN+33pgDdefnCpz931ZUh2KAL6eKz
OVoeIZcT15zK1kf+7b7rdJO2aT/XpDW5Sb54QUuwDWxcTV1Zl0/mf37wOqCYkPmXe1wVaJYkt82A
FLec1JfHyYX4ORhQEAdC6UFJJv2Py7/zVC25XpD9B4/Xov5zrJZolBZ0+RK3fuymYvYaLM4EqyZB
vYomnD92iAtjDZ62t500MP9mdjc/1uNEdz7WG9FfeeGntpz1fiwqYII6n0Fe8uEbLzU7mlhTWh+g
S1nASggaALIokfvQMxJC5AnqalDQdLhIXH+MklWPXeRKB3VZB/XWpjJ0TyDkkN05NfhaH49KO25s
VgeLLbWVQRkuLEyzDYk84IC1JfqN3Tax7hB7J08jO8VvmkLqzxZb16g9ZQ3RFyHVXK+eBNvhtIzV
ApxzSd61HiXGZoXTDFgAkQem+jiDqwfFnGyzPraeoj4LXhg2xpthTOnq5ayjL0JLJ6D/7TJI2gOS
3IwpFPVtWyIxvKkAHLzhuDAflzGfZ0/Svtq7oHcwnNZrbj2WDANIXp2VZGw21Aj9ESnvjU5vAiAb
umG6fklau/FL47bxjZ3FtcQWOkblnhCeub5ldxzuZNxO+a3B8eC1GCX1f0xAC7B0bFmUUo0O/FQ6
9ES1geB0UJDk85+ZDC6ACHWMfO7yIFw/poO9KO98zYtjAqc2iGbn8J1jjNT0Ebu0D0V72CNasrdC
JcvepFp/ZV2lNnB6MSp8FOo5ftIQE8c7rKpUhETqJP9wZuzeBk0V75lTSElzYdXKaaOGfXxOA7xB
Uzy9szsy9M9Fq2Xzjq2R+JmYLXhwRHMArMplaP5InUhPzxHaMkMTCrvXlIKqfdus2sS7TAMf80CY
TI6YvEmqEheQPby4XVMSfWfNFtEPYhEslF1afE4yYqm3VY1CaTNNHEu9AUXeq9ta42q4U7Pz3FRI
3v3JtIzcCxD8NF4tjNUobePeGQCU9NtBYMDaumWUtRuaewig1Nib5gPm4qbec+B1n6YirX9lcQHo
LtX7VACQFeNHOc+CJKMMMgVeeIX80IQm8xnzvCN8wJBQ6XQ3XImQbgtYoF7ybmtklJe2E+PO3IZm
Xn5LtQ6VWd8RO8WxIOqtrTla9t4FVzTs0olONHMOCJFVBQ5ZCJWh2jb0W0dvzhCFeBZARWMX9DmL
27LUNsXhYiz2cW6FEH9zeOOxHdX5mwoHw/SmTlAWppwMKXawekQ9k5kQBmXRDNqkhLL9YjtT6b45
h+GHIeucr2NHpYq/U8bqkSiN0tgqVDhrnKY5BwRM17B6AQTakNBMt3tHf69gWoZG/LvV09r5PKVB
N5FMlLQWUp4xgFvXN2AeFvpg5l1lwPffZiF3tGuiFuZWH3Zj9sLQbtOnZgAulIVgGP05wN7gdYm7
0CScKrVrk3gcvFm22vjBlWH6ZTLAR9wgVahMz9Ks2bPHplBb9oDtuBWBGjAzp1TnNhJrfXzjmiBc
NrOY2+SmDYjo3gbVHLB15F9gul1aUTdulULNY6fep15OlPsfeo6Js8OGCRumJKDhe5xO7kTlG9g5
0khjeQwDe/nU1kK8NYg4Vp5XCDhu1N34zdSgBENUaNuXVE6Yi2Tac1MABKFT4nmbH5G3hD8s3BMh
kKQgpwDTDuGv0CYEllYV8qtNiZUKhLolu/JjG2ZN9tHorQXUSDKgpe4IbfKSbJzf+rg3Xy5PO2dm
gtXggr0FWQx7bP1w2jHqhpVAb3ufCuP4aXSDCCwmiFUMdx+pIVzTGJ3Zy6ylvLVJSKuHxfbwcqFJ
wnsWGb1fkIkZwhiyOMtNWp1Sf0jB9wi93uH3zG4LFGtPl3/qme0MxRoXVaS9FjLXVNB/y9Gz3k2C
cZOTU1MQ+VhGy3bVBeyLWkd51E36W5ZAfLh80TPPl3MyVWhune2MfnRRs+YcMtQTLDIHwqReVqaf
oqAkcXLSv0T1aN5cvt6ZH8n12IdjtWA5cY/eZ9+rqS9ClpGiCJebCuDdJrbgvRlJ293awWBR3CP0
6fJFz22gjL9x4gwgtmzH4nxNwg4wOipEWqd1ts/ebvwzqxqTmp2OWoo8rkjv5mqhooPCvMteHTsq
6j26L+utBSzU/B9PnZOCw2EKCS6H+sNX3YrcKmYrBnWpudGXemlRfKD+9bq4XfymnK59RWcW77WE
hE+c5iUts6NhnbbEbyY2kAi9KpNPdY0gAvGN+4DiJr72rM+8YWdts9NsYNuNdfvwt8VVZI9Gn4w+
x1djjyohu634/3oB23h/IDnaz+pYI24rkfQjwswzMomAsjXHLSfSlOjLApJXbemjsaltp/Ksucl3
Qu9Mx7syLNaffbSnWZXPqIp0mz7MX3/FP+Wi3hLUO3s1+BEQ3S/46MInPHrzi6qApW60MRzfofKR
/KUZ5meXJug+7YPu2gM7rSIQv0sFYZVB0wM7HgxY+F2rsOMBZVKWpjeqs8L8JQ+RJfgZGs+WeJm5
/hzJtre8IU6kwLWd5q+9scivIcvmapLOq8cRwfbPpCL9bEnUaKP0zyhOlWM5fEURHXxWgVyuTM5n
XjUSdk4CSNkpAB0Xwso4jEl6XwgWcif7vkfJ6neEeQF0J+Y9QdN/R15afmV3uB4nj14apWFOQ5yz
TZpKR9+OFiKPdDqaWbaTQOIxi+ZLWYWw0P774GAOJthjdRQZnO4PxzG6iQS0wyrtAsw/75LJKd6b
Vg8fHZJN0dnac7PP64rs7kjVBFyxQX8AUVP8H8+YbjA6JuZMxz4Wrrig6giSIx+iBgV5o0Yh75sl
AmBoiOShaJdfkpX7yl7/dFHgcEd7ndIW1ROqe4c/HZEGKccZ14Qbld1mfTT/ICTQAJhfFpGfRYFx
f+Vhr3/j4UvlXMu0i22YKqJwjiaNJLOsPhcLy/xEpJGnZtA/UbSUvccjjZ5l5KB4W1IdiV7ZmTEV
MRXJx5pK8zeNPIXfV27ndGLAoMGRmxVxdTEfTwxUEfKgnocRQEwUYSNjijDgTu3JnECg1YIJgDk4
fEhSsZprIRzF9I3fL9/Eqc8dpylbESK6Hdpr7rGyxSXZE9qbOfq9JEUVCBAC/62eF+79DNCGiLtG
40YcfM4aR+cGKCHBZ1ArZ0d9tENTn2EehUOwEU3TvAfWVGc+HBptgpUum/eZcJYIdHHa3KZxnxGS
3aRxylk30q9hPE77GMyxtPVcau00BnBUHY6ngUJEHA716GM4yunyL+0+d2jOsb8igDKe5cQU2yS3
KVVLv9RiCS5YQ4u/wS9FrVOA06i6uLy12yq/iyNR+WIwqv3l5306DVtoHdYO5DqtqOP2RUXCckfY
5uSb7N1p8WSY5IsSaRuy2U84BabnoSDYKkf/6OtD0lz5zs9entIgQTTU76R19M1RJ0vA0YWzb0FF
m0gZNBp4wnZvBw+5XWrOtiUmekbjmpkjQLwJNSjy00C7sgn922w9+hLZhdLpE2wXDHn8GBYQ2BT7
ULawClXOh7ZYkughhl0pn1CjYkMK6Y49BxRz3ystirRHUx8HUjjiHLpV0RXp3ooMAyRDOfbzJlUO
UIhMLgBY6rkml3CQnGo3rgYpfDvRYtVvjQABAu7DyKjxfcfa98JIVpC8qNmRTgV0O/yAEHG3BIZg
us5Th9CAIeItTD0q35mMmPtwzIDok0SOjzEhmX2vL3Yb7IoR5MbWdsPktsmKhOJsJICjlWm0tHdD
Z7XfnW6qvjTBoD6FVpSmr2Og0tua40G9sWa2xY6eqepmdlz1YA8WAD7q2uKKcO50d4a+Bj+S4OiB
SOJ4xzSskEUy//jQrTl+AHaIEa9sGeR6WewuD/K/56Wj18tOmEbJKuphUVlX13+2PKO7wB8Wq2DL
1WvCOoXkKOpVSLZI5kyU3gCwNaL8UWphzQE8hLOD6XFa7J+ybWpxW1h9G70wFGlZXL61M4sOPUOM
WWwbKV0fl5GRJ/Z12+oEhS+x9m5GASnYjlb/GIf2K6CYxbt8uVPVAXtUPvdV4kbRGgDL4ZMY6kD0
Hcx5ki0MPMnQ/WIGbEBgRYJkHf7ZDihjaZBT21U52Xf13HgDubZyN40tqZQuFpFhmw8DSthytLCm
V4uBVSxt2uGZNNbgeUDxra7c9ulYsdkmslbSCqTero7KcLYbjxZ+zZQ2Q0C/KIE6tuubcbyvWhKa
//vFuBSTko4qw2EDcviIWtaWkLBqMEGytu/cZW58x87L+5C22pVLnemfsMixCV4nQMp+1tG2zm04
ueHEAgBnRsPDImX1VaMKvVOZFYLd57L7kW3mjkUzxPEaR6+IJZ0rY/B0Q0uxHrHU2nLnpOSsf/7P
12EHLhx8MFG+ye76JyIS+2VySzAeDVlZ4LodZ0D8bZb2lbXn7yd+8FmSnUPFU6KCw86NY+LwwhG0
oyGooWI0E86yuz4UMIvbJU0/mPkkql3UEAVwE1GOeYeaabwXQ5G8mDLFpiOy0flNgzd6rlK2cjsz
pTHMGo8ecwPXtZ42WRO3PWj7eUauHjCRa9i7MSbXfzHu6dxVBA3lEGj7UqFOt4j0/Km0znkrm5lM
2Arl3XIX52L61EyxIFHF6iv0OdzZb4vK/UDy+9CDW6WtmN62JMq/XvlUT7Zj68kIrzvnZUwW1nG/
AdPVhEHOUf4QcWhtQldf2VNVA6E4ieLAN4ii2EPsJDhmVNVdEvciulcIct4u38jJ8OAt8YJow2MI
t93jjw8FJnExYbz4a1kQeG6ZV7dN18rST8dektE5auEOiCtck8sXXgf/8fBAH67jROZJ8B0cDo+5
MANO7kr4kz5GxR3heg3LGs4ZRP29mb5WZBWHkEEcOSIxn+Yrv/tk0uF3I3FDmUn/1jSP7XBpiC09
SgkA40jJguuYE6ZEcrwWh0rYf/6lFMD41vkY8PmdWHRViDCqaBY/dKhAbqKGXjgpj9PoR81oPcyK
U8ns4mJxoyC8uXztv2L8o8eM7BaMHkwmjFLHPY44Fhzowkr6kJMwlmIOgcCsuVn9UJJW5XgT7ePC
0+B67zNypzSScwqKtwBwkmjPQkOMPKcYMd2CocU6J+Zlht0Pnt2PJhUMG1hz6rPG7TveDAKOZCCb
vL0cWr0gxqzUZ98pR73aLnCJnxZ9Nr/FBBShupJ1+Ac8cwohnueC/qPJ22sf2ZmXrBQqE6JYef4U
IA/HmDnKyiBnQfqu049ksmpS/iLON2oe+4iQ7A1IrDLcBaa9/BgKdwHthHGeIDVhT5Xf1LN9k7eN
CldL2bKf2J8SE1lkVLYuv6Qz3+Aqnf0fZ+e54zaytesrIsAc/ooS1bnbOfwh3A7MORav/nuq5wDH
ogQR3hhszAaMcYlk1aoV3qACKPccF/746c+EKF+GwpDDgi5GLAD1Aaxfks5150eas/Z0jKDQYd6i
L2GycQrPkyeOvW2hkMP7cUxb1U/XnmanJEr3aPMiKrz4QiTup3HsxR8UaYmLWUIP3DVp3gMRcp5o
5na1b+EV9M2EBeVD9002Tsv5rckvAqhJwxqFRHbsKjC4RlSlrsqONRgmvq/KUdwu3BQ6fjupd0Ph
WN31ZAz7pawzbIsWfb90ZHkb3+QcngTwFXYLeEjZZLTWKGMNliwvQ6iHDJCvcleryC76QKjGes8k
PfxZO6iQ+KYFVH8sWyu7iXsQqDsV4mGFtWzcvxDSUIQwGrjjPlLdprnxE8+yS4PaDtVNw4Dc4Jw1
9vXBTtyicsyDhlbnUwUlx+fYau/xTSs/5Xmdv17fphfWQ2LRIaMhSyPBXJ0mCPgDqM7ROLioxpZ+
ZHbhfaoo2TcnGrFgdEq6WxuPeH5JANulYSW/gwHiQl/tzspK4mjOzEM7aKHfdR7+6ThSIW9nCMga
+J8zjEzDJcDQZFn+tWVEwOSrAASR9b29niM02VBbbmKZh3qAKtlDgv/RUUNjkrDk6ujPCd4JG5v/
PGBBhKepwMTEgYN+lsAv3oRtWGQdZoZed7TyBpxS8la5b+3EzDYKpwvfkxanJZUhJezhje36V2aY
VTqD+RlpeTSg6Et3GCGPeR49iqT4BSCk3oDtr5dzeJmy/8Yl6EotKfmt/1rOc6JZG5ImClLLQHES
Hcg7GCECKWD8RO5iUG1bu2cdV99WRLoOToK84lGlPVmxrCKip6UqB0K2/QA7vkeJoKneqSi+QEvX
K79zhy3IKJ12/tq/r1y5rM2An8EMUo4Azk+XHfUydOY0cvHymvUnslivDvK5mb9qAyC4Xe31xi9T
DRW0q+qK5gwKf9qdxxi4xzEp9CQZRlNf0PuAyDfiY4yVVl9laOCn8TsEeWfK+NKwal90IsLzwCg/
2OADkOVUs+HXhAbihMx7JCmkZdz96BN1+FLMPcq5qrXY+J1MWGWh4d1hfyv6BEJIRRfyaXGr5vdS
4NC+wwzFCSYwJupdl87DnV42DiIVYxJ/jxMABQxP61Hs1A5fed8TEz36SmlJHXBVTHeuUi9Y7y7Y
nPL/u/FHBKC/lQPzaNzLbIO/Ctj7b3bJgDHkQnLtJxWjd1FBOsOYoq9+Z7io4KhHFG12bSjmFL+B
lAdvWyU09+CUlBePwW98CIWTPgh8YhZ/Ssr+1lP51oc0Mz10lxQj/UmBIC3E2Gjhbvbs9lNI1lcd
8DlDrFSzhDbsGG/Tt5sGI3tU1ARqB7zfGBJvrkPGTboCNGGntZGOoo/SLU+o/6SLP+jNSJVgGkq7
i2hVPrT82buwiFCS9fRRiXzE52W2VyQNpkIwe98tE+CEYKzq8bfduSRjc2p2Xyvmsb/7saJ6oeh1
wbP1UfVVLzBJ2hmTaO5hVYaYl0c0ahEK0eI/FBVaucdVA7OvYcCDHUh5iJgcQvJLjTJJiBpSCpDg
izOoWnSTlgiah7p00BIaKLYdWUYNgrRVpfScibarb1VVjyvNkuFGyHw2vmMyEmFWlDIy3CHrolif
BRNxwB4jsxm4vrhD7LxIKq9jfNlHt8aAtD/KW0rrAHPCnd5Ha1f8wh4VXvoEnx2fnCLJHweg2kiI
DcufNAytXy4gkdyHQkHLDUL9vCcyjvEDXdzse2plnFytmPBkGiiO7Z2ORsZP6Y+tHoQ+Og9N5aWv
vDh4x5aSEJevX3dnLV5E/OiaukyS4UNwCa1aBYMcYKSTVwSQ9WeAMsLuwLHGI9VKMuq1Rxc6JImn
9q3/INWG8xF+cMVPCB+Rsze7qXhJcPOL96Ku3Ju6ltBUjA4WJEXGUlc2fu15rAOzRi0siynq/fUQ
2sq6IjHCug4YAKLh3oDRTYCE/sC158sYm195SPXj9Rf0xuo6DXSEcfSeUESg50SBcxroKhe5gqFu
60C1BzRhjCrE+yxr1ArPl44ivY01u/R1Sr3iYCrlCA5NKWaxL/UeG85O6E2LVYmTfwRrUqI+NvV2
+Gw3o32cwpnw6DLZBQ/o5O6nBIxwsbdnrampM2wmiC5QtJcEhHj/iP/cwhxjrnAQR/xkeT9UsZE8
67EhYPiYDmjROIFigykVCmxqmCF/Yka/I9zxvlhAcxLoeN4s7jI9r38sjKOQXY16OvSO29PYVXG8
0PZuGpVPCQ6jr8UyRgqGzyaNfjXV+o8Awc38WPKK39u57Fd4Gn4DuPqWzhcu+2m8swA4oUnB+PXb
MI100Jx0Sh49E1Qjx7Eo/7RxjOPtiIwzCrgR/mhdU1b0DWH6HAuAQwr4sCWmi+fkQ+XnDeAezGbC
8Ws9a/O0j41saG+1FqNh8PA5kg5R42G5uqCQcZwAkTW7XguLrRr+fNPZjPFUmlJwiKXu1ukGsAR2
7BOTWjkpVINFQyqo6hiJWz1Osi3aSsd8Ntt/zJG4XnkNclYqx8tADU4XNTtoaTpagIFqVPXR7Zgs
4PwkIAOo87frO1xu4NMNjkYlHVwmhmQuqOCeLtVGUZZHsQqMu2nxIa5Na3xQarv5z6TgP2X+l//+
whNN+PNlGEuisgvZTjbrVom1y7BosfM+CgxQDNpBibLwGcSD0/h2DnYG85bkudXsLQjJhTwFCj81
BEUncP912Yl+jcLsJomDfozKgxot2g0qU8YTjZjuSQ9xKN+KUbKTu3qfSOs7rgXEljnkmmPmGLjH
YaQcAm/Vne51WOb+G923uj14iZJ6924TxTeFgffZrkX04SuaOdDCVQ3FDr/Hizr/7HQ2gMaC4c1T
VkItvbHQO2l8pLA8a69HnVL7Xa9pnzSv0LHxY574MwFwUQVlPQN7EkAQEK9KIO7vMFyk4SXKzLhX
OBrjDv1q8Ux72MSnI9SNMnCFpT7EWT1KWZTcxEscrpYC7rEoA3L/Jd0VRThWYBhBsHH9qprtG2lu
fBoUnYoZavnwxc7EjFJ5ozh4rxtuzcBQHfueMWCU6YccefXGT0VdfxgssQxHLNC8JYB2j9GfJmrt
tcb9M0bRSCdLSkXqADEMjaTbo4iJ3WSalg6pQIRmS5uBZdtlXYxWeF3p5VOoRfO4Vwkj6HeUxZIe
GH1M4siF6f1qPSYju8ViCuIvkZf9FGpePua1pw4318/QGbGQa/RNJoKblF4MperpIXIaaw5xa8yC
xYh1yydiYBTg4jFSRBayJLmFP22LHH4wxJV22y24kXpDFmLaWbnIwdrtpC68wKT/XZaGgFtcT4jR
03co+kR8MELTuffcVtCKUqtkPws85b02MnzUpkq/tc35CQnIUuCjHMLWqYbg+vO9IUJONzW3IDMF
gDWMvKgTT5+vxdfR7UcvDYwUx+99FukGFYZqSqOzBvDkODcOSjljfkO8NPSdhuPrpwoIbHnUY3s2
/AbQ//c+x+ThYTRavXia5ZUAaos0n4psrKxHOKEZ/uxqQa5jCGSNd3pWQJ3ke42k02pYVs/eGPWP
2COIae/W2IT7xYwmO+dacX73ba68FF5r/zLsAm3K66/gPJCgKoq6DkGSdom77iHN0DrxQhZZYOF3
dScWpN1wAgcPp9rekb5etHEDnIdl1pMMdxgLkCTWbb1xytsRO5ws0Is41lA10soOB/N8OV5/rnU1
zs4lLNKiZjE6QGu9akuLJjTqrTQYUU96TJ22Qlm07Z5Fq4v9Py/FdNqQiBEmRZBFTzcR0Fbac/hL
Bx0gTowDQxDvne2+0IdRNigmZy1hHgvahWzk0PNnIL66bkI9gpTqJkkQmvFQ35eDHd9FTP+9p2mc
mbvYxFQKix68vZsONlVcntSoHKmWgJ+52OmNxx2YP4Wpu0CEtHrjxcvygSg8AIXbs1OwMO/7pkWF
QNEi/CJH68+oewMEPm1AA4g+zvC5sUxJbC0WJjuCgXTvq1bXfhJVZ9iQvGh8PoSdvemKcb5XbQ7O
21AWtCYDwNMX3SgYvcZ1XwSo68+lP0543H4IHUW5V/KWClxxx8na+Lhnktc05+S88U2xBrTIGvCU
FLmmdtNUBqmS4SvZ9ZZ+7NLOuseWWb2DGm3dFElV7pAVG36bCl6Zfusmre8ZpXXjoeO2s1D1fGzL
RR9Q3JXK4V6Rg4zWVHwK9c6INoL2pcQO/QvIOUiZM79exbQY8w97Gd084Ns5x6k3kIzqy33dWIyE
nba475243wik56cNTzdNmkdo8p91BRPWbobdedoG8DDadIdcofWpdHIQYTWjsOvHTd45pzEbQiWk
I5BgLkF7LU5owhlENqirgmWpvQMZJebReQBp3yLbKrynKlKFDxVD3Ugoz56ROTBPhqWCpZFbrSUd
hE3UquepCVrhfqK/gJmta2YmNp5G8/76I55tdJZi2ms5NmrlBNrVKVdcnAuZcdUBSmrZb6PozCPN
pOKV2T/dGSdatvBu64kmsC5k5Zgz6ahVeBSGpyfLJCS72LbXQY/654c4LDoJRYYQWHfNdCwsTart
xD1/zoVxx8ixDBBPczei29n4gJ9hkULjoAHQjAJ+NUwp8rFGmSBugzhNlJ+pNro+mAv7ICwIXvTI
JvPerLA9h0Ho4g6vAocSbllvHPnzt8+kj3MD9M9lirCGhwmGPepiLUOg5pp4HFpv2fPy3Fstjyac
GFXEmTcu4bMtzXamKJDKDdyIbO7T16+NsGLCJOmCENumm1ynsQlZJj0W0bw8Wl6Bv8qAtjUjunxD
XON8U6NaxCAVqA89ANDHpyuPg2G2C0pZQWIPmQZDTh/uKgx1LRKgNNx4zLPIxGNKfXjODl+atu7p
YpxZRcAf7gK3M4wfwAu0m65Tq31j6piawsi8naFGbyx68QkBciJ1B8CGTO900XY0GJHjjRW4NHD2
qg4bv6k9/Savs34jt7m0FLeTx6yE9iI43dOlygztx0j3usBQY3s3DOMPpPfGL2bnRC//GiDoUDuo
byEzSfK21kSBhpIX9aSTRMaKcyemuX8H7/01xl6yB6VH4+P6eucbFGySvASJuAYqpauABD9YgcPZ
A21QpvynE2Yxhtuhi0u0xeh3p8+F0cJMa9GRF5b74fri5+cRIi/EN5WkR+rWrfKrOO28HsQhKaqW
u8eYY/8ZPfriTiFSvECJ/B+W49RrUGkl8GuNfaEQwmZLK/Jg6Rbz0Vw6sZsbZldW5GTfJrQFDtcf
7/xU0A7gMwKCe0tZV7tGZnRjXNs8XgfPxh7s+U4th3DfDEO90zpNuS9nYwtKJT/YySWKMB6FjwSP
AASAWnS6VQuyjxnYIffmIOwAF8diJyYF0mzb1D7dOExcB0aknVnlD3Y9RhvPfH5SWJ7NxHRQqsit
/dRqR3hubXY56CA9e1ZqTFJDNtjeY4iyEc0vvV5ESyjybGp0oHWnTxq1jj7Rt8uDadbGhzKj/grz
Aj3VuHBfUUuaAFJuCiifjeYB8AEGIP1i3so8fI3cAoTjLMpi5YGNN/y7SGpmH5eCKQhgKP3WWgz8
FBAtZYCBothjkqfDri48DKaxOfLxfVV/XN9k5wcYLBvNXikeB4dAWkP+PcADzhWVA/KfgVeo1Usp
IJ8OBiWBZhaIUbldfHA6Q9l7Vev+86eWTQRUsuEssMW91faOlbJ0BVYggVpn2eexo6Nr6dVwmyTu
lmPQGa8KQTI+MqAgZvlv++r0Ka0ejz4KSgfLKce7wVbZeWJ2tLxIoe6bfLSMFtvZwQ2m1IAkYoXQ
nDIt/5yX6hZ85Sxm8UvYA56USCGpWd/oyP84dWGNDmhxsDiVPn9kyp28Ex1W9TDPrY1r/OzzehDY
JC8RCAr54hp3kaelMUWGPeMRNzfvQWg8iFEzv2ZTVtygShC+mNXQvg6Ortxc31fnzwm+mBaKTj3G
lNaSP+yvwTAvG5+kdFGDZqgs4G8UQiZyzs9OFv3IcNzeOMyXltNAMJCyEL44YqfLJci96lVaa0GP
ityugnV8xJ6DsdTEkGccauXn9cc7z0jpZkIg5iZADh0M1ipOJl6pCltZtEClAfNielP6POBNfqxi
8uGdyMdmF3o2dXKaFV9FXMx+p5qo9V3/GWfcC2kDZYJlAL8hC5B1uI5qxSrwZVSDDq/B8lOHArT9
pNap9hVaCBA0b7LiaU/F1ZsIMZdugDOTqB8YBPbkybmxfNYdDv2hCQ1t2SmNOlk+rjF42asCws2u
Kxu790vEeQt0n0OspsoIqhZOCyna79cf5nyv0iCWTCZeKpXGWi8TDZg+t7oJc2jw5QLUkuN8EkC8
njPFDm8MJU8PCcJa+9yet1AhMlP4+9bDWQTWOTk24wCwKWveIZbo3oBb1YI1t6H7UeXad2k9Vhtg
ifWNI1eR4nF8MVBIZx8L4yfdbGN18UtNX36mTvK9nO38qU885ZFmM8PauN3S/jm7cP5blGknXCh4
Ymv9+sk1oSCM5uJH5PENcwhQuVXoNvvZjPSPWotiWl7DgPQBhSUf8Lx3d4snyiezrNpjm4zNRmC4
+BJInsi8uXNRiTo9qeZsZzEeIio4iZI467z54fK+BDgJF1mJYjSODSCWjZPy1j9cfWKmdMi8k61S
y75JOfwVkKwibKsy7BdfwVdyFxqFd1TazPtYmlX0K22AbKQ14gbdqM5HmL4lA8Amus116ktEh8QT
kK8m8EKQw6ZTFjfoJoLMKvr86xxhoBHlbrxxP575TvHlQMtxwgnLXM9rt7C06mZU3sHrtWbvPNgG
w/AIdT600pQIkondOvAvck9FliGegtbM7D12rs7B0VPlI+BJEpo+3Wo0ntER5K+SmEIQdIQdAuDp
99OUiqZRpEuYYD991/NuxINFjN7naancuyoJFXWP9KoW4WE+0Eo0UXZRdkWtDrczfU9GKhTq2C2p
ivqsIDD4ubYT44XWYDLuSgu4R3A9qqwzSvl7OdpUeZTP5O6rQD0C9Sn7MRPA6JLuBcXv5G7AHWU/
2PZW8np2KbytBSMLJQBJRlg7hU25TZaWAw1Bd6//qCtO+VFRAF9F+Ti8NpFq7oBmpWzvOjkIxemC
ZbC3BHHXN6H8DRSaEqYkU4w1ccaOOgJXj/puZSy/FC1h4Nfijey3YH+/WWWmbm1T2YNYHSyZVdH6
kncQnIDTDdFSOUN5JnYay8B4vxOxr9BWuGHuiVMXNkWYJ1SZc8uR048FgNtdNs+i2dVGOL27/q0v
PLvUOZOkOMB2Z1nA6CE1WUXN4hcMXnjiftlHqVneqWonELVcjI2s441ktn521MpJBTS4ENAwT59d
QUQsZL3F7xE5utUnMNVPVjV3zPshgg47twtBGeZKR4I/lENq+xHQ9R+DBY1wZ+JqhNyVkbYIjYSK
eB1TBT2UcogRF3WMRTnOhBvliCBI+x0DbPNdlM8Fmyaq+1vL7q1pIzRfen3gBtm8NDKJzaskKhKd
Z6EEJEBWlMqum+zsSbhOt5vAwPtLFpr/OCJnq4I0YEIOl5EMap0jNgNWPCiUC79xsh+DN6kBrpYW
QIimQHwvJ0jkzXJ7fYuchQP6L6SjNlNLsm+0gk6/WLNE4MKQ6cFL0HTvx6WAAehmEYoy+pYT69lN
J5eSTWGLqQz13ioFbqJlWkLFZSm9Ux7w7ZiQIy8FxDXLRmStsg9L1fUb7/Ti81FMSfVF6V0m//yv
ay7EPNo0Mq/cA2RpfjCajvddqyKPK6XOr7/Ks6SJ50MoT6JNwbjzGU+XalO2/4w61t6p7Opris6s
byeA4rZu7ovrAPlHF5qzzfjidJ0aZx/Ec+FuFmG43NEMoe/i8WL32ZKEH40wK31UUOrv9liMz7Em
QK5hj+aXdoE+Stg71s++Gc0gQ5ll4w2cHRhM2OFDgWSmf8BVvcplWr2Z9BBdebqHhveBom8+QHUR
UD0FUmsoHW204y98XIDEro0hkMlccc3rGTFfspMKIFFTOQ6KQBo4NDx4/Gjxtj7upUdj0749Hkd0
HdWzJBWApjgn+HEDRk/BbHZRXPt91eXHWmjKxqu89GjU51L8Ayo74PbTj6yHapZb8Bb2A2PJD3GB
a13p1M394Lhbjd91i4urwUJkhWcCY88MeNVUdxnQqyYSKntoSIihTgjHozo+G68cFuOhw4XlCRWr
UQkaxUoPatb3++sHZ13oyB/AYxLyIBEC7lsFhqpXQycssUW3nWZ+BNehPJdt0dxI086nRczJ3YSs
W8w4cC6C60ufp29ybVJg2YbiOK2Fg6hlq16z4axOaV9VB9sc0vEIXwOzbDLv8KZRqb3u6EQw2I3R
eXKOoVlM2CwDvzX/ZEvZBI6G6v5js+Tmp0bQmt11ixJ/j5BcRMcUys3GrXQhjJ784tXniopSiVpq
+z2mMt0HxxbjLdyyFNarCWAQiekPo0lqfv09XVqUQRMHjZKBTSmPx19h1Hbwu6IWrvajFyZ/RNui
vaVl6O0U3fQMnmcIIhALh+uLntFT5MZgWzJWJqhCk1nFE9QcaAUqRbWPG82LvyUegqy+2vVhem+V
aIKCRQXMta/b0bzN4y773i1Wnxwguc/zy4RePsKSfYOHnyFKcOYu5LAP13/ipa3L+yDVofrnlK4+
RpWnoNpi8ptxKpwA57754I7oDWqMv/+MA9B4tTGLwK3zLRveSwEJYIRUcZRSRNbqFtDSRDVzkdc4
gxk9+oUqKjN8COuzSyccL9jmxz8/qTRQ5/u7KKuc4UQajLzyGDD0vssafd+5Zop/YBX62G+qh2KO
f1WqkX5FjXHLIeDCgzLRQOWHNoTUGVlFQjR2ktSiGbsvIjz2NLMvboc8G/a6opjHSDO3hNMvXK82
N7lMF+Dj8M/pVp8cswmrMOLFkvDpweBaZXyL3sqmdor8QifJMoRJ0nMKcEZUAEtXC9XIw4TuxFQ2
NCTSdRGpfRyHsHuY2m5Ct2ZWjo1SZ34YM1DdTeXQP9rzAPe/jAp7R6ci3k2anr67/p0vnHQAEbJE
5F9s6VX5kgoPSb1BQ9YQ8P/ToPeZrwCNvSnbsHsPztd4aNPq0/U1L71ysgEYXHLMwnW3euVLlusl
Xih42nblPo9y+9FR4majn3a2kQBxU4kiVCADChXw6SppbWpTgVSpP0Rp+qRp+xStqFRCkvVRGzYC
w4XFkJ9B2w88JJ/4rQP/V8BMUtqCCpMdPmuZ+MDCsZcNK6io86DeDcCTNu7QS+sRgaTcP4Quumqn
D+fUeqero+P6FUbt4EhH78hc1H5U3bLxm2TaRDye7V6AVZKZxwYGiw/e6XTBhQGFo886C+oKdB4l
j52fAE3m6NBhJosV8dRW8d5aatSb9Qh5sBgWhu5r8Ay8A/1o+kuV3hoHBWNaIMDEssBKhrgMcHWN
/8xAOj28yKLm0BiIWu/qpM4epiSpxyPuqJ23UyKn3lLZONv7PBOFEKIgYK41cz0dMBDhL8u6cH3X
UiC/6UD2keuBaXgoRa0fNWQtA8Pa1NY7y/VYluSHDgUjJwLkKsLlxmC7ygCGQxNGBwJytrE060sD
OIU+eRsF39lZk4thu2WRf4AXXoe3QqgIiFssZkrnshs3dfCw6Mo52lLWvrQQciA0GLEU4x5fXd61
QvHeKIXnjyU4V7O3p/dVZRWfr4eOS/ueSY40hyaO8hpPt+FkV4aaCwGQWHf699qED1s15JW/IKh2
2zdoX11f78K3giwJw4/uMbFqXS+38TDCPivgdJUZ/cah7KqHHuljbVfpVft6fbEL+5H4wbt725Pe
WsdjggGUpNh0oSepdY+aIf4sxpTuzDobbr0yLx5ytuxGennhhUoldHxBgfVQyK1isUAgjeLG8vzK
HSHMzRjGZ4BdfQWnztdl1LegxecNeeadIBaY/zLukKzQ0y84WxmGHDR9/QUFKUgxRYHtBcV5MxQk
eBkS+FGOY0vfMhCYW6eBmbt4R3tqxxukELdE0S8+Psmc/DkE7jUKBgGjsBr0OJSwjeFYjBWkOdnY
LWLnK7l8Elz/wmf5Iw8vczgaPxQfNJpOH97B8SNfYqKoUoaWfkee7Txl3jQ+pMhpvC7mot40neHi
UqINxsbal3YXBEsTc1mZ7qxzVxPBlH50wOCnIRbJFvrLD00CC68s2u7DUKTTe4yE5y1C99sI7iTt
4ZFhjLLDAFEzaV9Fu44JAs5oeeiXbWSJeyRpsuEb1CEEtodKmbvKhzsr0Alwvfyd2wE796dR638q
S4fzbmcqzgypEIrm0XUQ3vL1OXTfh6E+tX5C9VMek5jx9s7ro77xMWHxij3vFo5fE86x/roUavwx
HfuS9joQktE3Rxu5XRNVoENtVygBA+jwyvtMmdt8ly4QC4Ned7vkHaJn402ZqNW0a7ui+GSHFurf
wnDDfGMwdvFMkGJLFT9qCm6j020h1DDpqnRGtaoVNpoZqDX+scOquGuA8u47fSm+o2+Dptfg1bfa
kna7tPamD7nCaGaXR6LeMgu5cCzADMDXJr1AUeQM6zO4Ih26WfeTsBy+LM1kyysxHe9ThI2lxHIU
bfR2zroSdLf+H4iZVBRm8+kraMq6qSYv1f1+7kx/WOzZBzCuHUUB1HI3Kj1d5rRu4GiShLT09xJ4
tdcP54WHpuQgCyY7x/p5bZSeIS3djlGj+wVv5aY2IsGSXa56BySph6ehENBqri95fr0AjceMhWPH
dBJoxOlTV/ivMFyuDb9Kq+VhMptih/9FDmd02Or8nj8dwHhazSyC19uZG4Ie6wOVDYPOPJ2oq9RS
BM6QvqZumhx0Lf1XASwCKvR7Yh2mnyY56irM28qkGgn/84GNoq4wj/GxdvPqs9BoeP/7S5S56X/g
WLwJT1+iGPU2qmpb9zHR8bLdXCXD6zCUthMwpoLEeH21841KkYiwCQNArgsm2qvVHJFQV8QGSWNG
B71K81d78LBwyFJNPS5J7HX7PlPgCGtZXb3q+aRsXVrnqZbkJ6KYzgAB+891/eS1pjNE5gTct27V
+yVfjA9smmHjQS9tGGkGCOwYAoelyz//q6SZLNxM6xzSUTpX6FLZIjT2mQF/uaTr9GnxCLrX3+wZ
TEnuGSmoYMg5JRyY1Ypq26CXlRSwh2rPrQJt1odDP3RYUiH+/gJ8AcpobmeF3xRj8yVk0EHZUYbf
orzRX67/lksHE4Y0IinM6ijnVtu3E/3YzBOk096OsWKsivgm6W31KC0XNt7zhaU0NJtoCEAC5YWv
SrlZGIbiQEnxw1TLn83U/UAlHj500fzx+jO9+Y+cXsXUObL3Sd0IzXQt/oGbG+ZKaWv6ztyW72m1
1R9D8p+ajEAkyBcBhX4BnGCKQ9ZE3bybk9bBnryDtrSL7Q6Lptgph0M0NJW9s2y4fb7WwNL/9/Ms
jVXJEmmI6wwXTzeeqytql4+g2RmsNviRA1EI0J4oJpQj9Gq/8VLk3bp+Kew5phh0wyX08nS11EIT
pe8Gwy9wJDHQgai1YcHgSVvi924mTDgTadR+m3OPGQAaPtPvwmUguZj8d75qTlW0dQzkB1//IjYC
Un5A3mkZrX4R86tWLdpUxTEvzg8IKBi/Bkw2AqyRlJ893MsOgkWBLQRoiASvi1INxNJ3Gy9GXj2r
XwGgn9BNug7kYS3bEpeL1KCM8OWYRoiIM2XkLfJEabOLPCWJSTvG/BtT2WJjgndpl8pMCNQeAFGo
q6tMIEHZUwmdQvXDMp/uVLNP7/NUbT9ZfSTu6ILipVXMlR83CylgrkT691FVq5t8TsZj2Xb5B5A+
1fepUvM7q7LS39f3y4XYiy4+u5N2B2XhGsDomgigFlWm+naNiZSBDDkaJK0db+i7nmMppOonKBVq
XQiYnLzTbSncsGpEhLNY3eg2Kn4TSIm2h9Wxi+a6gT9vzh9rKjdd6kuoz+kCpQ8J2GgjNb1wCTCQ
wgVMapHKfvDpz5hsc3ScpFVJxor4o54lzRdTT5LPiDXY9zN41Y3Nf2nXcd8g/MS1wzW7ul016adc
u1iPWJCln0vXiQ7DlBd3ujfVt73Rgttiznl7/Zte3HIw2Dh0YDVRDpK/6u+rjqepFyom3+bK+yHn
YHf1lIuPQLHLY+kueYJUQRj+sW3Rfi2YC5iA+qV5C/W5+mRGsy12faQWoATc/t1UVBgsXf+Jl74D
CDY4IszuwSjIbfnXL6wWxk3cHZgcKWoUDKL2XmDIobmHwETzzjGXdmOfX1qQzcfkC4Q4sXFVkiSZ
N0w4mWr+qFcRfrKNSN5lMPYMJCvtpPH1cUSD5vpDXjpbIBAlVcSm7ngb3v31kErnqLXZCM1Xhbl8
wGruM56Z07fri1y4bkmB//8iq/CSlbFbz8y9fNFCodpDaFvQ0vOiskAZs5//l9cIQBarNyatdBtP
v1u4tNz6JeZUKM8axYEicJgO7H+BJmHDeK2Lt3T3z1sMso8DbQ32AFytNZlIWUxNKeuEbDjRi9t6
wFNxzjorGPDiucXc6Bctj/quBN998+8vFr4G9CUaHGAi5Iv/6+t5fbpkTodQC4hgCKAGTqh91o5P
EOi6jY1y8Rk5B1xL0kxyrbOZApJQbCK/33nR3H7TCi2cHuYUQ2kGy6WBDhYyUkFkYEjl69oc/aub
NIkq+QLsBSBmwLzXXci0SvIpdilWddSugkig/9KqS/nSIOtwuP5Wz4eirAUjBQs3ZL3wQV9FxJpZ
WYVFk+4vtj3P9/aYTvMzim1T5KMCw0vGoxwwc6lmrfKYzSba521XUsTmQldA+BvKa2gKrT86fTx8
jtXW3NJbvBQqEARmYss8ncp9FSoAMSWYJ4d4PEXQyWotwStkibsHDIt+QXdbNhKES1eEpHYhL6LK
/Gh1pPoByIk108JC9BqeY2F8HnFxuwmHPD+6U+PsoYD3G3v7UmlCj5CxBx+COtNbPWPpWIkxaoSm
cmmH8oubzfGd2XrNfACYWoP7TFFOF+OiDLshKRXjbuqyqdwpMTDFHZVyXP0P+4JCFJAlFT3V75r9
BfBAq9h9qh8rc6Uc1cjS+gB4c5N9BdDseEHbOF1+6GtjmY5xlECAI6tPeT1jbn5NtUIfqc3BR+/U
GY8fYO9atLV5LwR04gC3CP4s0H3WvNVeVwqq5U6ljdfgFpGEOsbYrgiuHxEZWFaZKn87EqOoGuDu
vna2Zaw6jNi4Y+RJMXE7V4v1uRiGd2raKMd/XYnAyg6Q038soNa3sOeFbdtHtY1uwFQck8hFgohG
+Y+0GcsP15c63+UsxUyKzyhXXN+FMQAGozM62y8cLnw3UdSAzYQVgwL9QCjaFMyWmDfe5MVFQQbK
OR8AurWKQrOYDiRJXOa4lnoaGDaNeHoAbuChYP2QFOZ86zXqlizpefwgcaGPAZKMW5IQd3px5NjT
GHrj4G2XwD/lDkYMalatI0pjxdGpcMS7/mov5NYQUZn0S4CgJic7pwuiiTMNGf0dvxVi+RQXNUN2
wF75B/jG3QEEcfiooex3SFvdeAxnR3zsKrF1XZ5xVyR2kH64tOSRTcB1nRPjHTmhRWeTYdWak6Hg
I/VwonQeESWA2d3sNL037qLBmb/3Vaw/54vUDLJCeEQ7PbWbP2plu9+tMq37R6uYmi8oJyCoGVuz
qHbdqMy/msZtvMDLTfcuMa3WuINiony6/jblyzo9fTwGHVNeJ6DZs0m0FguzN1D08R2tmdSjXWiJ
i/+fXtGTj/HbA+k9z8FACMsO2WAklV/RozBvr/+K80hDu4DZI60NhJERbTn9pK1ud2powBHU0xbi
pJUm7zrkPjbyjvNII+thOO0SPEd7YrXKgsVkrSyu6avzpFXvm7HOlb0pzZvrhTJ649K5uBpdMKou
qQpjrbYp7qVDFtn/x9lZ7UiOZGH4iSyZ4dZ2QnEz3Vg709NmZj/9flFXlU4rrWotSq3pyAgHHPjB
0T0Hr9Lmns7RmDwtKjpsnmW26BHeXsKt4ShCIXaAXKuQs7pcQpTGBKkL55Cli+1fpp0Uhz6I4h+l
uushsfG1UO4WLsxQtblHVyWvDic5YWhhkUQ30b8KAmHfqjDeiRM2rhUhD07Qzcagz766VgAf26Aq
GWSRK0nDfaFMjxT1Igg+U7OYdzlqEr9uL+HWzXIxpghc38bAKkAQeygsHDngUIFqiA6IE03HDrL9
Jyqb4edlVuwEx8lxOiVTJD8M7TR+v/0rNj7kxY9Y7RsjaBZ9mDmRM6KUhxSXWazVqwbZvnBPin1r
KATv6Z8CZyAzXQ0FdrDNqSnaHvyVRkV5ZgnupaXmgpKmZa82IP6y1U0D/hn4HRGPyBFXi1vRNKyc
rAI3IQ2ZdqqiTPugG+2inRwlr1PfiVUUZM0uXcazao4QaoHVBvm7WzZU5hRgyOTF4Cn01baSg1Bv
6Euzd9PW/A3RM/8fSfs0uImmjnsZ8dYe5oCQfoPZpS6yGmygbV9ApWCwDOHBYdGKZ2Uk6o1SufVU
e+53+LJb3xOHPcYiLeVZWi2xHsZxMiiJBTTFkhQfVQN7dJVYjgMggEP5v9sb9bWItf6iFl1GClzk
q6BHLo8LYmmA83uOKOk6/62PY995dRf3YLSyTP0cL/Gsu9xXWO3ApilOQ6NReikAYGbdEH2UgnHw
b/+mrRXA8ZE4EuICPC/xRd6c4AUVtjBC5xcSj95/zcNm8Cqa6dCyDeV0e6itWxA5Ipaa3aw7a7qU
jTh/nFED9eJkbH4lVNXvKxTUop17XSziapEp+4v2KlkkuNrVIgfWjG9lATImMgw8t7FMln+j6IuY
ZSdpmttIufwrwe97563cOK0A8IAtkKKJmtrqOdFLbc4JA2xvrHS7QDQiqo8RcaV+xA1vCd15NnGR
UeUq/NI1U4aJ99hZys6P2AqyuC4cGHtwsQUR+/Jz1stU9shuOV4VJBbi3IOkLH5jARt2q36RPkVS
nsfeZFohts0gU0Jk7o1l9I24i7/I47L8N2dZ+ROMLQvYmwpe0HpvWaGLI6/WerbcQjCz5qS6k+po
BLaiVdjxJg0Qz/cfTYOAVUjwCCvMdVdEimOtHWqh/DNpjk/7H6+HTF5+m0mt7BSfr88A3iGMBGSD
Fifx1OWitaM2lUPQRT6dge7RilGhQbo14ymJip3NeX3BMZTNzQZZ3oKguNqcSmel1Rw2IAeHvj6l
phBrtrXilM64F4PU2APBXJ85qqgi2KZaCix0DcCRyKnwR0okr3BQawwxq3ftPtkDOV0voPDaFAa2
pInIeIhf8eYSqZe4yNoOkoiEqiul4pQXnxLVs1Z1zru3BUNRBYCHL1KoNUDNmQYbG7SJxmgJoqWp
+h4Qi1AosbXyePu+2pyVGIjlA6uxhucHg4aBuDNDcwrM4JjlZe0hlicf1Apps9tDXW8LFO1e815Y
T/RBtMsFTHpolUmUSp6qZijqJY4xH2IpmEEsWS+5rP+5PdyVLDZppwxQmGCR+jrUotU1ISOkinoZ
ML8l5TpxaauglNwF+LHiIYBAJRrvcifaghH0X8hrjdO7XWfIP22EoHE3sbS5c522MWrIT0k/Po94
XqsndNBww3GXssZyZucnX3cJ6QKQeNGYF73CdYE+IJDsaYhI3hSU5mezmabPaRlPbt1jSMhPG/zQ
scqzmWj3KmKsT2GMYPLt33B9xQuKABpEvF+ksWtEWTQbo051CdXT0cSYshQI9ahWj0mTl5TBKvXO
4to9IPObPGYtZKrbw2+0bRif0hLzJz4CmXy5S6wIM3tgoIj0p7aAgMHO8RJk8X+rmoTlA5rRrZuH
SfkzmpXmU6Qv8ZGy7vAbT4EGlLvWnww0aY9lNgzBIXEw0rv9A69fXn4fYBsU5MgbrzqZryW5RLYk
eniOfdDTICUvUCLMgaL+hNjE7Ctt3uwMKkK0y+ee3pmCJDGfhSO07thlcdtgFo5EO1mW8T2oypL3
qRl8tbI6f5bN5a6P49lLpCHaAdxv3Q9CuwJ1RRpVhKyXn6OGDAxeM0MuVlFQNkhUy3fywL7XjGKv
eLIxlGhME6iiuyV23+VQUqTGxayzspCcidWsMQWqNZXj5I9lk+/ts42jxmBEaLAw8bRxVvsMh+aY
//BohKo12z/jqux82pS9L/eznBwyNQv/oJrjBMdRR5sKRrjhuNFU7Ek2bc1aCBHCZmD23PaXs3aU
JcXZDJ4pNnRx6DnKpOAGGQXWQ2sb+en25t0ajM1LKwkRG7L01WBlaylB3+eh72S9hZWfjE+OO+Cv
ChoPYes91MPWcOIq4ywLfOq6pTKUqlyXDWyN2hmBwkhZ+SOXgeQiUtF9f//MuDMI7im7EeOskhxK
uH3oAHzxJJ2cNdOt/Jy0MRYcE6rvfzEU7T+hdSUQxurlFwvasULhSgu8cEocrCYWLfTaZMj/kxJz
783cWkH6L3jVI3TEIoo/fxN0QGrvckxhA0/Xw6H3CwjlzQlZZWwRczvv3p8oUakFyYxAGyA09snl
cKlW88FGKfBUjNOeInNMvTLD84DIWAt3lnHrfVYBogq8HiUqWEOXg8Uqojx9GwdeolPJeOA97L4F
hil91iql+LMEad2i2FPrz6SqFpVyNGYxcFPsCkWbZfq3Ry894AYMJwwcCCYwiTG19KXH+OL37Q++
+UsFN9lGaItbX18dG+zU5ggFEnFs8godg8yGiy0FVXdIakv/RATXK264RNVLVcvR7M+oMB6kXhnc
OGj7ZyNG2TLG9JkbGtvCA96Py9mijLEHKNh4uznW/AvYHLI/a8JS2KJyVswGwVxoSYfWSa1H+A8O
YhmjdqD8qftoCeLvXA+t4WYtpJHbC7UR4cG/RXiNA89KrWkAYZyPjp4A6CvavD82vTSAfOdZDKbp
GdrIe/W4CPBAo/IswfWDW7jOMxpjpm7rcHViUXyvohXlYQpOiNRm40mZ3i8KIoYTA+ELwLjrRzhf
ZLUdZZwHk66Ljw31swOch+jOmTBMqbW0KrBeMfovy5BV30PLKe6idjDvmmGxdvIDcQxX4QCgSkSB
KY+D+LvCVaMd0KM/LXnaoC73wu8WhVq9Pd/+mhu7iSSfe5vQmYO61igg9pGcMFAjv8c28ZwuUfhB
SkYHKcq88nKAgseOH+3OHYphsdK/1yiGr4sMJxGPeKtoka+uh0KTelubAd1gOKgcc8T/sZRWUJRr
It03akN2bSRHdsKCjfsW7hb97leYGtO+vJM6ZRKqPqSutRJYB9ChqY8/nXUIxv37byMCQYyAyicY
RU7LulTUcIk7nMTIV5ZmiT2wH+Y3vR6n+0aXo4PqpNOjPsWLi0wxZYExhdbQhfGe3sPGjMn4TVJn
m8CSEujljOPWqVHsM0M/Xkbl1JUElBROsn96ArW9G19keKt9qwtVDSAs9PrltZp1jAWURUc/ghOX
lXcVfeQvjSl1pyJOs/OQt/WPLO0c8bAWWJND4L3TmwqmSGYE/+trKNFTB91kJ+HZuLTgsgicg/hJ
FNMuF6AB5KBrCQAKyYn/aC3oEi2M7IOZD8mpdNpp547cWm/yGzJTSrKwQlYB9VLrICArFQOIqaD1
O2KFxP1cQ4KJaI3+xdwoeYK8ou5Lc2Y1GDXVFvH4nsHKViZznZxHJ0vsu7KAX+s1WrfsDLiVvlEd
AWFu0OPiblptJ2A1Um6g6OGPWqSchk6zThasVj8wghMmJy9gYE1hKpTdhQQgboXR50vbDIrfIst2
n2hoVQ5hhXjfqP+8fZ1tLTx5DKQlepqEpKtHPMG4dLZTLfZLubSPyWJ+b9Bk89s+CHc+sZjjepuj
V0y0htMVAHZxDN4EbVQV5cUyuESoSb+YUZf/02GsS0Gh7B6dQjE/GhZsf8eSsg/vniINDCpg0Hz4
6uuzHEimHgRBEfpSgSzeNC0o9bcxrHtt+ItIERQ9IBWas4IcvVpNYEdO31V16JdDsZwMzNkfzAji
UtoWe+IBG68d9SmNo/na9ltX7+cANf5czMoOleBJi0LtqSyX6P2pEXrdQjKR8gvA2NWEYAdFWW3M
oV/EQ4j5TdM79SEZsZ9vY3mvS7Bx53As+fysIF2CdeirDR0onZjIhcq18ejkAy/aXEyxG9fO0PiB
pHc7u39rRGIGYRArmPNrynBaTLlaaFzzc10GJ6taah8645/I1MIHcEN7tI+t4Uj6UNUQTjO4BV8e
gSaUl6G2jNBv61ryu1rRD9xDnRstkf01be34L76eyCJQPYAOBenhcrwFMZ+gLfXQN0ei3DSgAmPO
ONZjLfQXSS0oTExPZQJBUvbVRilqPAwHXdgC1dXix0HZeFYeGx8DHqf3RyPskVcrW64sKL2Xs7KW
DspVoWXIF6uLGwa9dJZD/B8irHveX+ehvMRgwkUGrMVqqDqOHatY9Myfx7p90dTcvMfwfXxMFmnc
eSM2LmLaAiZJLXQA3qbVE5HXdg62Pk59NarQDUg7JJj0uilqNx2GaWcJxe9e3cWCcSHsceEfXCEt
taG3F4vGmJ8acv0NVEv90Ia7+ibiHb0aBf0qqtoIq1zx8AA10ZCKm9RvIXie5sTGLqNGzmpcbAz5
YJW7VqOgxJpO+eeosd5rkEaoDPlPUNjE3lfWvmw1n7NykjH1ZzMaT6BWP/ZBnH9BALS7K6ck2Nkr
1yqeqA9QVdcthiPhWwOgJ3oRmabUiZ/mDcGF2QU6tWEzGP0pcPKnjnriWeoK69Drcf0ChrD43ALA
ewwLXY+9Mq+1/+nGGP97+/Xb+NRU8/B1AihBQW/9+imF6jRaXib+Eg8ymEQJekmU7lFZNh53thHd
bWD0iEysW3bBTBDVY1nCp56BhwLdx3ZPJSlB32JJzdM0WuaDORLR2JNV7xWCN84OdTQuA1IjqsHr
0AJGyAxEIs38LJuT/wpLCh/DsTbvY7vYKahtzZOWOagrCglIkqyuObW3hoIPDQKjaMx78pL0jlhA
PlCz1w4jev2PgdElJ4IA/Xz7O268Hby/9G0Uyi0A0MQavAmf+jaSKyNhjvQx4z+dYbSHcdYGPIaN
uj33+biHANuaKhVnyjvMADK9+PM3A3bRYsI7AuGc9vJwpO87uG0SQ4+LMhwVk9r+GAxL5apoXX/8
i6nCUVOISoEzrTHvJDsxSjwsso5IhIuM9fi1tedfszxNJ7twrLvbw23tHsoGdIHJrQWXYDXRGciP
nkzIAwxG8WNqjNCj3Iw1VtSpf24PtfURhVs3oYaIcNYqolWBXGCxyJmvjoUJx6xQ/ld0Wf5hUOig
ambm7KC0rg8/VTbKMxCrKOjzgF1OLW6Wph1SCevVeEk9nHXK53ZY9tQ9rxfwcpRVmIGTXVqUGWoE
jZopX4eioLamFN2HaaRl8N4F5IoB5caLwociXb6ckCI1cxtli4CNRtZnlFp/SUtpnh1Q6w9ZMezh
da9fMNGtp/FC9gZIeF061EdDqVM5LHxbGGWUJKmtm0JSe5anpUH5Bd9i1xhF7jZhR8tzlsbNTlxw
vWX4CQ61Afr4ACtfcXhvjmEVYPkjIwjkg3CzW18t9OqLMbX9faA50ilDoebdAo1Y5AjRDNF7gfKx
jlKHQqfPYjOiTDftkFaxclrsyKEBpe9JIWztHAbDnJXGNxAMMfk3k2v1qqG+Uxc+4jMdfWb6FU8w
75rezQLD2cF6bB0G1A5EMoPQNonT5WAgwTo7dEYEEXUIr/SDChfb53gvDBBPwGXUI2Yk4jhuL9p2
q9OQIqWIdg9qX3Hd6tSmzMHNzMGkPb2ofqJNznGe1exQqd18sqOAbn+gBv/dPibXdzevAH08AAwU
Kq90l2QrjezSVnN/KAfH1UYyqQIoyB2m9IkX6NN8x6affXnOh50i7NZ2FYrYBFckHUB4LhcZ3/jF
Cirugi6152cjmf9khjrkLjKjpofxyXi4PVORMq1XGx0EIbHD4w+47nK8JAOjHMqMJ1vL71FZ9N4t
i7F4nKLO8hBirtw+6qIdqujW8goMyqvZHbTl1aAl4iR11sWF7+h0hdqAcApJBARXciN96nslPaWx
E39TpD58f/3XQjRA6AyjCiXKsZfzLeKqo0WEMKxU9ZGnSUX7PEd4A3UoRflZYZSeaSbzTpq8wQni
MabTTjeELUU99HJUqbArc3AQyaQ4i2JS4UiZ7sWZqf3iigi7QwiApLiTUA7t3MYKsBLCkbcBjzwI
sdV2VPfATWIbrT47cBCM0gRDGcDfehkIAvtERstvMRrFrVNruUdWH+0qtQv+3N5hm5N3dHp/CDXA
vFlDuI0qbA0dXxM/S83Rr5I8rdwI4YLKJZLlQTXi4bEco+U7iHOiMBLG4eNshP2p1hPH2/kxG7eL
6O3w8jl0H/AcvfwSc9rllNHQss6tCAHFbsl/DuJXTEoQn20M7Ym67fzOQIHELx01PTamvscq2bhI
RYYDPJkil4ibLn+D0gVIlkv8BtACI4YIA27MbXl+/0zxT2KgVw9XpOsuR+G2zKUgJc0PCf7kpzoy
xifdnh10C5qUdSZOjkrXIBBtHiUzjr4FWdKMSK/o5Jm3f8tGGECrWfh5sPBwIVaLPiXSjFF0mPqL
0lb3/aja51TJx/uiBCImaYF2X3ZD5qH00H+d4CrvXDfXmx1kIg1hGiKEAJRzLldijnWlrgbkrJY5
BwuNJaA3aVLkDr3U+Ldnen2dvpJK6LzgEIXynPjztw9y1ldTjMOtB5LPgcmrVN+GKp39oJ7yOwnX
lu/6ZMrZ+3c19RwUMCBCk7Lzfy+H7cpGmTBtcPBL6dRzC7fHTyGkP0HeGn28VbnaFlP9DL/iPI92
+aBMbb7zG66+MQtrirYaLydgkFdxrzczl7K2zTpNGb1ZiYGVpTGgUPQAygy+1CBZrmIvxqeonOOO
Qn0zFQfKr9ndO1ef30CbmtYlaQgJ7epDjxLwChVsDxIERnifzl15svQ6OUSJZH0c+8xxnXnXTPXq
xX4dlL4s4gdCZnCV/rRK24VDVSFkKJUVWidRfw4qvT+0c/5dCoPhdHuO12USMZ5Q2oFWCKpiHcLD
0B40pJ1HhDVz51uZmdV940TtfbUss6+hBnXuHHO8J2CwPjR9EnzEB9U4953TP5aTrP2qw242dj7+
1YMu6okA62jRi7hlDYrkOklRW2yEablkH4uyUt0oLDpPb7LJNZx09FILUTJ1wIb19nJcnW0xMvIP
r/UZgvXVzjdw/XR6EAJelznhoW7qxoc+n3iz1exhGDcnKQq0wpNHjHl5yHI6xDrmeoNnmY30jPyi
7ELmVc5NnlTH0XGkY6PWjSvT7d2JiTdHZkiRzxPlr4VnHHMpJKdikrYxQNtrplp5KkCN/TOrS3kq
Fbv5iIllE+CzLms7Uf/WAotvC0aBfi5vyeWs1bbqGrNkbOKXofHKWNP+7eeE7nWpO+lep+/q/iQp
5YHAKQzSDuDE1QlGWmEq2gkmhZ1X+WkZIoCYMca6n8exHU+lltcfrbnHJPP2LtocltiEzIM2/ZWc
JhrymtNM6QCFNl9OgTaaZ7WYMHNNlvjgvBq15HGzs3U3virCjugAg0YAhrW+McFfk0iaiBi2aZNg
t9z0Pi7ymltDy4JVMAS/NWsM77olGY63p7vxTaGRoGf7qtQCL/zym9IiVwYYBOjYFnJxB+M/fbG1
MftPqRR1Z+tu3I7UcnkPYa+IDtHq0KRzrXVEu4NHCIg2zYDtEjYbVfuY9Zr+VJRh8/X23LY+JXK5
FH6JbwWw9XJuqhqih9PWA26YkX4Ikzm7yzQHPQ25aA5xE6AYOMXFe5lebNtXtAMlMG6I9Z3MfWwr
wPgHkFjRdAyQmbsfqzZ8gPEd/cW3oxMLSweNWZo3qwqOzHKaHMTBa5BBPcVJIz/ZY5N7sd0HP28v
5etaXWQJYlrQyUwqtbRK11XprjUwd7DCwZMSpX/ppTQBNcubYniQWp3IRVgxbo6zrvSmW0tO8NMJ
h/RTpjvB6CZh0sNAq1NoKIGmzj4im9kHTVIlwytGObLuu6y1HF/KAv2HQ0j+lBRZ+KtG8x8HwI4u
gztTBn43mIx6LEEoJw6+Jw/V6jpT0raSo8HhKu0T/bHXuvbUOkN6aBWnfQAWvte1f7WoWK2hkFQW
m0Kc9DXW0lTmcNFqQs4GNIWNNQje8f9RNMsMN8mCMbxfujH9abGSy3ko8jz/mNRzNvoUTxHV7K0g
/mAPQe64hlog7UEJtpu/T9k0oWNhIGXsLv0yfM4GZdyJmjdOLjgSwaHk/HITr1aKNmxmRoE0eSRs
cM5xogt/N71R40wZO1HoouURWzuJwlVmxNdhX1OjJ1ckZhe/6U0QqeA31oytgmVaNVcfQ8f5p1NL
dWdbbw2ClSsVeaEgQK3lcpC8XWKla1VChijr3ajQTcgwRXq4fXg27iGqnuDbQDIAaloDzZaqsmO5
k4hFlWE580mHO33phHpAOJ+XHA3zNHKcnSdl42LXaOBQDhRuvaQDl1NL9Llz8oU4LG2a4s8wL9Fy
DCRLo9+AAtxO0Lc1Q0B0aNuwT4h+V1UceVhaLQmJ+KsqxjYtn/XqY4fw3PcG6Ud0L5LmaDeh+fH2
um68mtSTwbTTUEYxdI32StpRGUvoJN5Uyl3nhYUZf0xm5B8HzHmROMuM9FHW0/gp60Zp55tuLS8o
PuCLEHqp8K22J2i9WCkcLg/RFTz0zSyHJ3oe7SIIgdK486hs7VM2qGDZg+O/omcUsjOBWYomzyoK
8yffXFVdOTH3Ko5bkxLOszBjgPfCzr7cM4vj1I1BP97DDW/GbLlqH4ap0u4R20DS8fbH2xpLyL5b
9Hipba6b9BOvszz3wJx7aly+EU2EO60iN49J2rR/cRaEujwPF7GOtZbuKJCMBNeIAUGjoB4esD28
mU7v/Swryc5J2PhSpGNc2nRvBfZydez6cRnRIeUkaDIC5G2lBw9p0VQ7+2HjQqaAiCMIfDoBuxO/
4s3lqOlFp+XzyO6rIzoZY6VYdA+NLneNISrr+zkzzZ3g/7p2h1MfeGAiVBQMqYWvHgFKJzVPkj2g
s1bF0oHTLf8HZUp/Qsdp/oOXH/gKJWkrUBbOlMt+Gof5Sa6lVoUNVyI29e79I7JfiCbiZiWwvFyC
KA8BWhUJVzdlFDeZZgtsQF+eRvRQdqa+sVVBbvHykXRRGF+TkpNxUhPqHAOWvqV5MtrO/NrXiQZV
Ls12htq40gyqdDqdTQ47kIvLWZmU3fqmx5IICL9+dPr8d6cY47NkqdOLsaTy2a7xLUBjV/vw7uWk
Qy0EQ7AUFHIelwPHHcsYaMzRMOboOcwqjXAiHqvMlXNt3hHZ2FpQ8hmhKM+jgTLh5WC9BS25n5Fa
KKw2/ZomkJ9lSTMegekmd7fntXFShK4dQStlGfBpq6H02jArGUMCOJrS+Dy3inp8RY+27HBfa8Y9
XNrGS8h4lmhYIQwLGvRyaqmjtk6lGGjcFv1wDKmQudJQfzWVSDtbmTPdFfKu75Y4eau4kmuNb0e4
hGniGnhqSjICpvHQe7Ohp7kb0iNsXX12zOcQTY/KLbUh/57xz5puWNXlF9VOyz3fxo1PSrUN6Agn
BVKnJTb2mxupdwIF6h7rHBpp/m+kS+mnWXbmJ9Pu4r3AfWuNKXrR46S3ivzTao3NxrDjUI/I6zAw
v+u1yThAkRqeEly5fSE2B6A729ML31rkt4OuNlKnJMoSmiRAlVngGLZY8122hLCMo9TCtTyJHySz
+J2T/Aq1t794wWiE0m+lc40wzVUqm8pGG4nREffR/XJUqiN0ewmn2KI93j4xW18S1gddCbJmnpbV
l2z0MKSWxOpO0TCflYK8K4OF4neJqewM9UqgWe9coaZFzxqOwFXAgedP0XSoD3rWYLaHpamSh0VS
k4dGidJfpYV2geskdf2p7lXPSPpzX+Vm7eZ6E8NhyIyTCN6JoBfzN04IS0LO3Rv/i3o0VW+vifi4
698JFU8wjgSf01y9ffa0qCYwbrTv5kL6bU3RpLq4Atef2gr6N9ojyufbA258BNgSXFl8CJZmHUaA
GS+6NOE4wUzDqtLO2qecmvLRasLl+18MBbdJQJNoyawNDLSRel8zyD2K1Y30SStScFDpnHNv1YO2
k0huPG88LiD3WUUCpHXKTbugzgtj7r3aRn9a0mg4tpzzL32RSChiFtW5AkzpNhMGfbdnuRGXMTJR
mVDhoX65isvUuaXgbUy9l2mmdMb+1PQcCAQ7++RayglQBDUFAfdwBOtXXF1vrsG6ItNYdDa0lKv5
vdmkHyyrHg+jHUoHPZSCT+PgJO4kw3cKKx2pR6vY827a3DrCo0qoa4oK6uVPcGZNb1kIXgOZU6uH
tu5LNikuuMHZv72om0OJGj+SGhC411ZYbShDk0psdqkz22fcBFI0PFPlyK3ybnCCWFja9LCIhID2
Gkljy2EWLTQFPaeygkM8UC7qIjU8hVHXex35M9Li5R6V5pqX+ToqwGjEDYXD5GrXLJEp51Gh9d6A
lvpxya30gOzg8myjRnemeWzNx6rU62NqJxr2imVWAsYNhsdAzsajpibjaZBGlPmssI8OGTgOvwBd
sCcsu/EeisBcdJz4Hw7W5RevGztMwkzhVLXh8NLHc8IzUTr38AKTzwgxOr5Jp/F8+9tvvId0+Uio
iOA4T2u0iI5OAlAqtlnTT8MdfJPmZ5os85O8LMlp6PPUcNWgDx6TBhkBKerVPR/xrVlzygRqXaPO
uX6npqSjrBMR9WjSZJ+y1p4empAcL9Tj3q8lvDYWVcp2MDlb14jYBygVUJNiL14uddyprVpSnvcG
o7SfQvxK3D4c99xCts4VPXeqReImoT55OcqkqxXC4VxWel23B6Uqin/rvP0vSOpuJ5G8FtMSKC6y
DToeQqFlDUDoA/YMxLzeq9rAdhGXlF6qovthml3xrEphQe9SV305lGa0Xgsw+3LZ4gpf649Fmkc/
b++pzXkLjKAolNF/WYUe5TBGQ6qK58EIuqPWSf+gOjt8oQFS7vQiNjYPT5CB0gaVVkDIqyNTtKlK
bB50XuqUcui2RS/dFWrS6i4a5stL3JTaR0wu9sBkGxMUKHpqgHjcIIazmuCSOP1QLnXvTZTnfilB
bbuT0ZkvUz7tst+3poimPIhV6s2IFqxilghZ/4B7mMynl/VjVUXTV8RMKEyoo9kLkqvlW3XRBu7Y
tR3GVygfHtPYqu/AnxcnRy/nybWLJNEPg947d05MB8oPpVI6jEY9/cWWB14HbU5g68ncxWzePJxV
pjRVPDqYIUcUYTMniv0sCZJHc2j2uFFbH0HnvqDK9dqkF3/+ZqhJmsteqisWpoY0F09V8E/UV/GD
aZXWzjbbuC5EjisiAjb1lfxWE8dSHjIcXRNWzGnN/KAEnfrl9rHZiE6BOgiFYcDswPfEn7+ZUD2P
OGP2GEl3sjoj9jvmzmMGbP5nNXX2cyKlzZ/bA26tIMmXYJgRNMEsvhxQn41mnEuN04Mu3FnXuy+K
JOF1E7d7UmybU6NCCJ8He2eKLKuRoqyq65GR0FcjOIS85sVhgF5RJk93fVJEO6/aVpVLRIciDqZi
gLPD5YBzpIeqVbOWdFgCAI9y9H1CwfJe0wecGxqgNQecHeQfcm9oj2kfSM8Sr+95SOtefn+Fi9if
YFXQi0jHVp+1rcdmwNMRbcOxqV+yINf8Gif7yDX7ZM/PeOuL2mCzic3hZCDIfzltQPMaKS3rXOVh
lHtoDxj3bYlwoqtJ6fTp9vbZupmoEVCzB7QC3n1V5JqkJpMWmldeiRDUzzjt0x81oJSPJZytzh/N
ZS5clS7czuuydRgdBQV4UTaAgbn6tLrV8jcbeuflU4CPbJcGR6kv5ePtyW3ERcKUDegL06M7sDob
WtxbZtwwSuJ0ox+MiexC54OIPOeGB8E0fQy6LH4cS9ypA2PYq8NsD09jguydNuM6+pfCSQqQ9uIu
yGFGF5NRQXqbtYO2dN3dYnXLfWdo3cmZHIk+rR7snJ/rTwuok1NDoA7I7krIpBmnOul04ASpsiw/
pyGzDwFqfYlfTg6V4TywRskdSkveuQKv9y/ZDv+mHExUBp73cv8WtlmWRRSNHiY7lGjmXP7Qms1L
Y3BUb3/f14joshZAw5BTSYIFkpBK3+VQs5RNWtJSH8GytjEOIyoWH5QYu1U3mpv0p9yY6ilQLenX
tCTFC21M9d6Jk+hB1MB/VMogPSJ9a38u5GBPam9r8Wk9ID9KOibqY5e/DAxJoaVW0FMqCWD7tDKG
Sw12zyUOVG2EQaRtuHG77CG+rrcch5nSqoDacYOsDWg7zK0tHc8vz3HSvHbLxZ4Bqbdm+xPMoWJ6
yCwkJ22ohl/RglbmMdUWzKhuf5Xrd4LfgNwUBTJuy6sG2ZK3lQUbbvCicqhPrZwNz3HYVd9UGtdf
6NO8W8ZDFDn556DngbuDgn+51IsVlaodU+Ydc8pOGBylftTgbAayxdw5UhtbmxmB7wD1xW5bI3R6
1JKtJuPvzniOvToaQvAstolUU7FHkNkcCnE0ePfkdlToL2clJV1h1jqlINmJnktbOCrljlI8mGq/
a0e4ORbXFHgg9IgJXS7HUgcrC4uK1JpKidI8TMZYOecyxdRedor527u3B8xcwSgFBE2/dnUyosiJ
5cFhsKrGAyGI9OdEW4LYj0Yr95V5TPcoyNdvDWp6lLMIMvHp5DG4nB2vQKxhRkxhEwDHMyxHEN4V
N8HtaW0ceLHhhZ4AXU3AGZej6E0qGd1EOjEjCjz5kY3uhVtFdXqeJ8v5EpuNekiqoNxr92/OzgTT
QHxCzH5V7A9Vc8bImosmkOzRc+IyPoHhkPdgllt7hCuWkh2XGnhH8TveBLZyDx2HyjEFHq0BRdsC
4s2R/fBiSm/+7aXcHEr8bWh6ivhvNVRaZUEy0pXytEoOPaIk5T4fhn/1vrB3aqAbNUK06uiSkHBz
0gjYL2cloQ8hiohcFnZbe43elr/LYrH9rNbTu3KRzEe90z+Fw6j8k8Tx8h1npD0y3tYHJEjhTKB6
wf28mi2q2EbnoNTnRbCovNBcliNK3cnOmm48DLT46CBYaK/RmFodcRzR8rLJchCcc7TwDIzB3WDM
+UEr7f6pq50Ws76OOiyq3adac/YchrY+KchRWsNg0Clvr+I9rWq0yBho1vRLnBwnKa19dAForZpT
d3j/7gG4CWhexB48QZeftI0myc6LEhPqIjG8tp4TfzCw+5v0+t2UQv52og/6QNDQuc9Wny7s6DzX
MqA/VNfbf+Shrb46UZLfRUDDdnbqxgKyOyC96di6QFdaXS/53OmFtFT02chCfD2P6oM0WaObj63z
/vcblTWT4Bz1Ue601VYZ5WBAHoVqorzwAsRqN6CvLfRvbeptoVelmMjc/mQblS9B+0GtBME1gI1r
PEOTG9kgi3e1SLA1c/NsKY0PvTSOyqFsp/pfs9PjDvB4XxjQ/hLrY51bCvTKNrBephTbkENoFkr/
v52ftXE0AavCwHMEL55mxeVWSiYjlEyb2yErpvoojWZaH/tuxJWNS6P6zzSAk3gQECP1WxuN5lOK
JVPvJVlUPOsJDgePkxFZNAezXP7caVNa7YQjG4da1E0QhafHQTyyOlUI5UyGHCdUTwBD+yYFIg9d
eP3g1OlLXOOyyDOlnIe57imAa/pOg2VrS6qqjmUTlV8NiO3l6pSWQUZuMuEqwnsWHLr0EIfKP3Jv
KjuV3q2RNIF0AW4FpcBZnbPEyUKpJklj72EXX5aUPUHdRJ6xTOPOPbnxjItkkWUV3F0AEZeT0v7P
2ZksyW0zW/iJEMGZ4JasqWerJUuyNwzLkjmTIAmOT38/6m5U1RVdod8Or2wLBRBD5smT5xBtpQg9
EUym7fKgumQhjO0k1IvMTo6tteC83YKiv7/Ttj/1Io/BfcfhceXBI2e4iIl8QNWeBrcRNbJsiiZr
Lv/y3Ka+QWi5sl0Yxd84gVyMNGiczw17IjMfHQgtJga5u2rV1kPaF/Y/QZ77B6Gd9IBolbfLgsQK
G6N3Xt+f5E8O4OUszYCbBTbGhsNdbJhsDJySpvox0iMO2CcrpiEnspc4Xmi0M9M4ilsaY/b+oISz
j9NGzyGuE/2PnM5e+m0H4++2TttjgwfRYYzj9G5C+fXPXhSZt0+KyekP9pRaIszKtAcfmrhG91nT
e+qwgIbRR+iWU3nvu6Lel3YSNDfm9zYbJYTYOO4b3ACccgk3FLh9aY/ICBuz4HOmxmMQe1sBd0tH
AxFQmaowiVoW2pEqmFjmdtWhl/+1yrwPtUb/ztUf3l/yN7t521Goqv3s8yeYung1cncsMkqGQEnJ
4j5o1KCK0Gil8ZCAOx18LWmlJuC7pbGxfcizD/1zWEpgRDOA65fSoMrHh6zk4YiSJQjIzYP+4PQQ
Xdd48SGEFv2N9+PN/fDz4EAmYSxoEpeHtgK2UmiZA1i3fnBU7TidynioIi2t+UaYf20o2tU2ARFJ
zH1J/iC5zSGmU6zYrJt32nU6kolhwXvavMW63m7vy1WECkBdjwRwI4GeH9ehttw+q0batWQXN7Rq
aeefqjDjLzRl9ju8MlFVzPP5eVhW50a0cXVo1E83igtUhMvSue1OTW44Ex9w9VJ0by0nlCofj3Ke
ksd5k66u2q4M+1n9th8Rn5IGe/4B9WXeF3dUIXpMTnoYxDmNc6EurRVtcG/ax2V3S9r52i61YIbS
n4mCEL3n5+tb2J2bu8Gicb3syxAgcdnNARKcleuWu3X0rBv1vavjAel6jEYQfllRA4nkI1MGiAxD
GPsqh9veOg5GOBKrTYp8t9r5r45HRsha0iPCfXQ+PyKufJ7WbLN4L6ZXPbTBjq7I5q7zEggm3XLL
CeRthZ5vZ/uwcmDmkM9cLqglmhY4vCIC0qhrHAyBKc0hFfQ0Rfbguy9V7lVyZwf+wLsTiOSlMRw9
/WGkw8r65+k0hXVv1zKUxSCxQKhp1eRfWh/pv3d/OyPZfixi9z9NfcmHL1aH3HM20amgbsJzvw9m
mT/HGVkziW359f1b+G2WyVgQh0jQUfcm0bw4ycmU1dWqBJUTYYivnFn1tXBW5+QPi/lNdzUdsGbV
UfXiEnh1hFx/mEY3yBvx2rX9QFLNbgB+QTTnIteNF/oQcmTTI6OM112RZsuToy3vixFn2VcljfLz
+9O+Nh7+LLCTNw8hVLTO9x/SjSXNbB3w92APL3NcaLTu17HH9SbOi53O1C0awpswinXmwqJZ0AZx
Beo8H7FNCmX6XcuN2TfiE22Q5oc0jW9EUdemhbIpHE++6Fa0Ph8Ev5Z1nXyloylYvPu+rT7mPRQ0
txAkAPNond5fxWsPzq/DbT/nF9zFNOGTGrLREcr91S7NrCBKkXXd9X3u7d8f6urMADw2tpJN9fIi
WpBDNfoVBehIyG55BJM0PjSE418V8VwTioUrOPz9EUEDNgUKLkToMueTM+LAi8njdSRlO50CqfsQ
jMIL68T19ha0whtH4G3rHDsEcUUiPzgjZLgXU6SfzXVnmzc1HWc73bu6tz9YYDregSp391FMSudY
p7VztseUecn2RDiJH7pdrf/EtG7xQ3QnzDJKKcC7d1wfdMzXljWmYVMqzw4zozT/yNMeIpRbWsVd
jtebE452lX+fHDyEwxHpSuvGd7u2RcDJuMPQ89/E2M9XsefDeI3LKgb+im00cO5B24VxDCg330hU
rm0RMFugHAOVRdCI86F8WSu/dilp1XOx7Luxcr8BkBXR5LkCFWDrVoZ7bWpbYw+Vbe4RMsDz8VJj
tTMzXhnPAtysxWBHGpmQo+PEt/bitaEQXoE8hwIePc4XQ5lJ6QA6UuL1yzhDn3lqH/NloRGmr7Mb
+eyV8ApQgVySpmZIpZeV9NEV3ugs6RANGJz/iFGzb0LlLGPkGaK9h3tZ7SdlNLvJHdrkxpG7Mk1y
dgjxNtUSzt7FHdn1ssgaVYMZWJUKvdbVpwKaZOibU3F4/3RfHWpjCcILpxh16fHim0tntzXBRpYl
/426sQ+WGkbKUVN+Y6Tt21yEynQx41pD5QtZzEt4URUp7dgGD2xSi2afb53/jqtumQJcm4/LvQGM
ymv2Js3g/g3ozGY+2kW7NEzbbvraamsayTVV+e33F49njLotrDPIURffaQl6w8UybojQuMsiMUz9
fYk/wjPi3uaf7w+1/VFvVm/rTuQOoR/hsk16xjLRy0vgFTPAJtKymuBor+NwKIrJjdCfNoGmp99G
GTdpYiBG4hEQCVKp85ONhG+3qoFB4bbEjwPPAMK3k3VYYvpMR4hnNxK3a5MkZSOXYe9vec35eFZK
k4uPzFQ0eLrdT84wveIG7pzYTn5NH1XX3GXo795IpK7cl5s6N3cKD9xWnDwfdZ2d3gWI471pO39f
1pO8CxCeweIZRT2IqOP+/U95bYtSOaEIxfMNLHixa4o8SxpkpfuoGdZ6X/iDcWrE9C9E7lsFhSvr
Scc2BVdcjMAALxvetyqD7n3R887Bak5jZX0pnBLx98YwaBXwjU5g+akt5+/3Z3jl7ty0b7f+IUan
1Ha+olymcdttMd7c2fNO5sINzblsnprKWTfzADvMGzelgFO1N/K3txIvqJ2Slm7PEBDPG0eDDnOc
oBswOPU63bwWtEC3IA7j9KJHEGhcUOzIz43qkA+62Vlrpz/0wYTYPfrR/6rF6PaJyJv/AWvhSuJn
oQmwPScX66Hs2R7choQZ+su0F25r3SW2HYd1oJc7L3GN4/vr/5aVta1CwN8EUTQpXEaJdidTMGew
AVMA00e9aAiQCqvK5EmMw/pqLnXvHIY8SO7BZxtzN4lizCNHLd1/oxyJHd7/QVe2PL+HU4167RYi
bP/+1wC5zWRiGfyedB4IH1Xt4vxq/QVU8T/Ex5tmACXyzVwWzsH5SDZsbrCWHMAA0Yr0uLZkl+Hi
2xpKp1ulz3lgl7do71cuEKqSgAY0xhMfXxavfbNyFU1yfUSjbHsYB7yHlk17ueKhel1LhNHeX82r
4/GGboUYnu3LpkeEN71kkVYf+XPj/a31rCItSouCR0JNYa5+W4mf3bSJHAJHIw7yhoUrddoOpXZ7
JF6cOHSm3ohssJ6jpcX/MhSXeYAPy9a5cPnMidUvU7c1ezqTbEqgeZs9zUvw3Qmm5PX3F5HwGMF4
Hjlw7m2Rf9mSVryWU4c9OiIDXnpye4QbcaP+KrweVylNLvD+cNdOABfh1pMOMRMex/lwGbqNS09e
Ec2JO4R01wSR02Q69Kab8NyVQItPtTEcCICQA7o4AkMXuPQzpwDK0umxe87ME+ru3Y2b9tom3MiW
MLpgT/HCnE9IrRmeeCYVP6u27JdWYF9iQSgLfdUYIVXd+kY8fvVOI36ECw7Hf+tNPR8wyNw+LyWn
jGaWmjsEUDBrdLAXnZnt1mIaDouWYkfLW71prHjhYFX9Mel858YvuTbzrSULyTaKyvD2zn+Ilh3d
EhbvtynrImpXvMkt5XfhTFVq17aoY7+/da59T+wvOHosNK5nF98zo9Crs4zv2ZaJeSgS3426IPD+
eH+Uaxt0o6NhCogmBUHf+awycgtT6kJHHf7ne+Cw70om7auC5XFj/a5FB1sxFCvRzfLwklcKrNhN
tk285aE/HWWY2/8VT13zCNxRAT5l60NQICZD7JB8fH+OV1eSQ8/VubG2Lmux3lwgLqzBadKxMr/U
TabgctAH8/4o2/e4CNVJhbcWH/IPpDYu4kk9wnLyFBAN3QTiRO0/+yuza4U85DTv7alHEQDBp5NR
jUZkzkN2I/i6+iE3rt3/D3+pE9+pKfOqgElWtvKofM/uH4g3dBFtbtnp/Zle/ZIepRZCdYSqfgr4
/HKHmlYqLFOwMztyh11jJsaRPYpWpcwJbuLVjqi2dQct11t9OFfPIHMkjt7shC/TVpFnw8r88QYX
SQ5BbTF2Tmq4UUqEFy0tbfj/w0y30eATbvf3RWaSu+3Wl8V4TZWWz0Faxcdl3Fo/ZVXOxT7uHfGa
r4N+XU3Z3Hg6flIYLjcUgRyETQB7aFDbF/9lmT2tIS3IBHiRUstyN7X2aKJXtxafYT4Y1h0ZqI/g
miXSP6Z8SD3e6bLYl2MaIyWBJ5AX6bw1AhodIEOGcRH0TTjPszGFfetbYr84vfFF5uPU4cs+2s6N
tbu2IT0wyI23iIj4ZROPWCy7zzEYjVDvH/ZE5GYazsaKsJlCF/+3u1UIVn4d7eK2XJrcrHNr25PI
bx3msjAoM2dVdp+tvnMLj7q2DUn/UZ7AYhFrqYtHcIL31k8BaIOl2zUiC6tOBvqokSyX5hD0Kr1x
SV+7WviidMbwuPMYXuyEZK3yahEUbSFIiwcbjUgjdLxlMejmXEYVtajgTbvBHNLPeenKf+fFoaf1
/aNw7RKlxW5Dn6HM02V/vhuLLE2FV3QAY2VqPKyqcz96XnWrf/UtEYHvSBq3EXhpxqLn/XwYi6+X
x72k6aFJ1+KY4X/6PekmVPAFOx/ZXy/+VNX4JKG9XFa7zCzTH34s24xiEUaXIIQJZZRpnqsnUdux
3qGfOy7hJOx1CGVXrX+rQekqknal/DDvRYyqmOfOaWgJs1LPWW+ZdJKXbV3uJqnb32bmsDeooYJ1
AB2hk34REPqtKrpq64ych8p7GWWsaNU1ioPWxo339sr541nf+sQo2tLytH3QX66Pdm3x21GgKkXr
OiGCFu6JECsOrRxW9Pt7461Awcb0xP2TbwYm9qaZGjVRAhlJ5h/EeV5HvlJ0767Io/yd5Zb4QHE1
98MkR371jn6hwf2oVeOxh91kqsLM9TA1WJfcfJKAYF2YG2rIHru+mz70C0t5UAmO0Ddy0ysgyRYR
QHLeym70KZwvzworeOlzgF4HzsAhW1y1l8KqI2+1+u9Lk6osVFXjuTduxWvxLMoIoHlbDX+jf5yP
q/zSa7OUVLuzS+dZ9JO7o76RVmEDLEKbMKLQdPZPYxHJgpb4cRFB6HWy2XPEb5mDXNkiJJMWUA3A
22YPff5b4Lfr1V+DNkIWwv6WpaO1N1sJ37Ufl+LWW3plwekOh7DH203j4iXFSAogB1OOvKVxWz/K
QtvR2I/JgZQPmcvSqv7Gy3y48ZWvzJBBwbi5T4gALwurWDyh7dKtUGinFnnyYbDunMEwsPfW/0Op
Z3NQBgnguQa83x6NX88b6m5WL7s+6p2x2ktFCXUsZ2uPNuotXOXaUm6nGkoyBJQ35NZVytmtSrK8
0UIQAt5LGfU0LR09BUVYoTX44Dvprdjr2lJuS0i2QP5MS+P5/NZJeomFKRk6kK0ZOXmuD4724QJk
vb4RYF4digCPv3gN3vSDlpORuWNW91FaWekxCWr7qAM17eqhvkXvu0YAoKpKfwrtMDQiXNLMs8xo
qPwDPdQZJ62gTTii/pPuZ2vBxKZEV9IdGgymMzXvgoAKuTEV/Y3U4aek5UWoB+oB/e6nWBl80fO1
dXxlqBER1mjTW28PDZ/1E0BF8ufaKR+B/0JyT6pClMlJ9iO9jbOhlAorrUvJjeUnD745U+sD6vPu
projLO/Q+vrz/Wv+StiDIzmB6M9aPijr+a8c07ZBFsTqIomSMvWcdN3bg/1n35nlfRy4yQ2A/sou
oEsOQxOQPWKCS2ppYyyQVjzwJ9g5JY7ecUOXZZw8KrUatx6wbYEvPsDWFocQyNYGjqX8+dQI9sbY
nkEZVDvH3t5e/GFHkdtG6Gts69NcY8cemnGMobW9iGOOH3IVesIVh99eYtrmthiBrgdMNy42ggK/
8bMZeMUYFwyJcbjfpVa27N1g6B6auk0+vz/e1TWGL7e14BiUJS4uLWWQIMwrSbkdDB6UMiwAgTn0
/Qgk8NvxCLlMYHNvodjA/XERNDfzYlraszExSsrghKkIPl9mahyqVt8yOH47q20oBtn0BcFqLjZq
jzk81s1eFw1GPR9cuoNDY4yHQxnf7AV7eyaA2iGBUHXkJYWqdr5xltYvnLhJNjxxRcncGdM7iuDp
fvWsNqQs0N69/8F+QqHnO5UF3ERECZq2Is8291+eGcRX/YYKGXMDzLejepRucxgFqXg4ckZe8tqB
fo29bUEA42rnoSmcAO8ARyY9EvMTqYM94aARxn5dFXuUouz7vIrH77msrEMcZ7rYdfNsPrJ2OBkq
9Jj/SFDwSPfvT+TKxQtKyeMFr5rSPvn1+UTiRiyeUYguKhxn+gGAX9016Nzd1RU9Z6EvtN4XswiO
LTa+d4GMjS/A7V1y4+Rf+36bq8jW68xWuewez9B0Ktq04JIRnrUXiS8ORj+4xzG2LPzsbxouXIn/
kJkA14PUSMMPQdf5tIMutW2x3Wr4iLtP9TyBJtg6FydVYlZZ5ofUc6bHgpsv0sns7zT71nRvyh+9
DSH4GQjvWdDNmftl/4Sz4J46aJ5YO3EmzGX84TiX6YhYdU/kDvJ4Kpz8Fsx/ZbGJNqFiAwBSN7mU
hVEkRnPZu10UdJKuH79ZHmM765+noCgGWr9H1IXf32VvoSrEGuFX0kLLkXkTtEy+UTfx5pzWlgIu
QGssUTlZyJq31L0yIVx86iZj549W++n9kbfY+eKcbto0mJpQOzEJC8+/M3DgrCYFALeksxOpusmf
5HpbiOHqMPRU8TdpBaIw58O0Q1+s8Rx0keG0yErE3tLcyX5ZQh1bRR9qhNHSvUDacJ8swK55JvJP
U5WZOyMo0g9ajmVz6OI0PaypLW/cVdc+N/24G1wO6ZTyzvlvEz06lVbG2VrzxvpkO7S/dJNfHPwE
lsvOjMH4du8v+rVdvSk80RyC4hLeiucjtrFngJIxojB0va9Sx4lSLf0XHRTozwmebxd07Mag16b5
66AXKb3bNmvlGSnl9qHwKE7k7S4QRA6OF1svYzz/tjocK7qFYZQ6N/PRy8TeMKZ8SgqcJbwlWO4g
l3VhG3dij0nRGg7+PO0BLZ0j1s+3HMDfzJQ6BO03oEBgocTmFzNVmb94FPjphRGZ358cp0sQwdgs
MBD3K43iWK9zcsu+ZdvBZweJvJSAiCSOLknoXxe4erymeblQPYsGuqurozXY/aPbxeZD7ZnxLVW4
N8dpG4wWmE3dA+z1Z6D+y+u69IVWVtOQASer9VINs3UI2tr/9P42fXMrMQrN8Aj4bAj629KOQQcT
AR0Em2lMP2SKAgFUSwWC7a8hcQQNkiCYu75ZbrUkvyVKMDT3IAgeKaqLGN35CdmEJJtGAJEtnTT/
Gawm/UFU6y0IoUINIBSzN8NpO/uOdff6Gc2jJAiTWQXPcd65y16VmGVCBY+71/eX5M3J3X4XLwLg
IrQl1v78d/myMmeh0bTqch3YUati8+BPY7ZLRmK2rlcuUIiJS8L7w1753mgjU8ukh4A08DKa8jfm
c7BRzb0qLr7UtUxNsELnJv35yvTAPbaiM8gpJLXtZP2yr4g+247NwDizkR9LJ5VFaMo5s6OpXeSf
4MYkdUIM47f353dlp20VYYv+G/zMaCk8H7dAcJA2FcZdE4q0dd/pg8waJ2xSc90HqxngdSWdEEzy
FsX87coi2kvaBkqxReCXheJ2hgLF24PSbe4PT2Yslo9tpvsb+M7bG4ngkUgffg0BxZtoeEjzhYmT
vfd5EkR5Pzon3PH+WVc9ntIZnPf95Xz7GWGLsVkgcaFzDVv/fDlxCA0G26Gcn9HHXEYY6/SHwtLJ
Kbfd+DV2J+u+E7n63UR446iBhvy0AmSfXryjlRrJTF34XCt6bIekqeZdU9lZlBWzunEe3l62DMWN
tHGWyIMvqY3aGd08k/BoBmS+v6XNHH+f89J8yYF/v/wPa7l1X/yEIImVztdSmOnEUlOwdBHR9v+s
rCRJ916SkazURjH5EP/K7IgfT33L0vDqJAlAt1oK6vOXVb1F2G0H/MthNNr4qDyneJBV5R9twNkb
G+bt+SMxhO/HmYdhSMB/PklU01whLIAduvrlUTk0/R2Dbh2Ptt3KH35iNDJcFtd/curUu1ERfpth
sW9oUts2qkEJ4JIURSSCx73gzCVdZxVhJQ1dUDcaWhT+E7V+yRxvqg7JOnafXFmv/wWQVRAQLofZ
/Pj+t75yGQCKbrAhscN21Z4vg4jTYppj6qhF1VfY4tBYGpllLe0by31tHPREaP/bsow3tuyJCZMU
XjZ7yqm6h8QS7WGxslvSz9cunV9H2X7FL5c5CH4+KnRzIGINBR27ONzKPoYO3milD2h8jz/eX763
Tfgb8x3mwk9gmaqOfT5iAwAoakQ1I0rQ1ic8MJ10F5eW/1xTZP9r5A6+B7AxkcyVk32H7Ih+LAM7
e63iurr3U5smuvd/0dUlQO0A5wZSG27Eix+EkENWbGSOpij7z55oyvul8M2/Wln5O4ll9C3I+9qZ
JQbaoCr4TSiPnA/oDrrq9AowFhciO01Us3exWor9Jqt0I225OtQGOkJS4XZ6UxnS/jp5EopYS1/Y
YfXr8g6igd7l5uSe3l/Ga9cDxU7aDsHFwKAvzoVXiSHXiewBqvzS37kyH37oNB40qtLOJheLW7LR
ZcaBZov8+P7YV6b5s5OTO4IkDc7u+YquWwdFjcZHNKJW+TQsrfEhmXw6R2mcObw/FNq6V04muBWh
AMEn6dklsOn0eGK0HZx5H8um7kHMhcQouaVmixOM3bx2qWCaiZda67Ezh+ETLfAzKLbshA6d1C+y
gwmV9qMoPPHPsszxx6aLYy9Em6Ayd4sRt9Oul60ZhLhpLstxMd1k3GWlnxlHNbjqe9vZjjp03aD/
9ep6nsNu7bw07Mes/7AYNKdFmaec77Kdi++mnvPmhBeQU4Ztr+Y/sJUZmhAkbQvSc7v8l5je/FzL
rvOoESj5der9sT8ua5N/3Xx0G9jGTu/RuRoXr5ljE7d2Fr5U2Mz3aR7SLmw89fkYqBOQK01VhJyw
MHJj7b6PY+eVz6UHEAWblOycqBVnrwCT63g3l1nnHfHlRD3Fxqn2kAarzE5xEAfk9rL2xx3alnUa
Lc3Sl3vqKPW6E42ZzQcEQspToMoJWE0JaYdVtbTJh25Mmq/QZZN/6q4evuLF6TaQNSrV0/aJ+t7O
GVf3CSta7DPp9h2fwYZMsRPxMMyRCKzZfIjzSjkhl0T+b+3qVDxJPzVf4ZO1mG9lfvzR7BSB5oDE
EoqUaQn5vDdqP38dMYHJ93KEzheWbr18oQ0gzULL0sPCf9Lmn9d5HW0yIpRZXXRHQMrGtH+qV4G7
x2rW/KbBNeN5667KfgS1n2CdRu9+EjlzMfcvStMOiAIYClqHBOEssEaRWc8C75fsHoW3+jnz/ZiZ
pkFxn7iicg+VZPtHPFDO12bM038mGmG/QkAMcDFH2d+gHpAvx4oH1d5npkttoJxzVORiJyELLuuc
OkGNHeGTYzjLtE8av0UcMjPnOkzSDo9VSLVLddTKxq2rTuIvY7WaLlQDxHF23WTmzsEfmqCkMadW
xROyBCakh2pM71vTgLjGLMxDot3UuRfODMQNQcgpwt6uUhXKERmWkzv6htjpobfwVQULuhdpLH8g
kYTLlUpBi1hQHUx3tJXkmOIkhv+PMwWte/Bi2n/CEtckGVom0tivw1wXyzELylne1Ytr5jvUKhv3
aMcxf5gQ83I/OZkrEIzImw/SapsXPJGVDkuj6x/zOLVfpykz0Fcfqulvz6PUH1kTTOAjblxlASFP
e+69KePYhppEiok1PTT+w9rL1cSkx+1hsWWSaZb+OJd3hoec6gOxdm2HPg4ir65IBHqRRqKbQ7l0
LWInQxv/O3j+UpycNtb/NrFVf5ldrBpgu08OwBh+w81hSRbzvzT38sfFmDOuIi9tx9CZ/Y5+ej9x
/LBuu+Bjnwi2a7O0YGmscXGa2Ys0XHpD+SFOFJLWMynB/YxisH/EMZhMsm6s+r8+p74BHXzU6A9g
OFuEYmj7O98vbTfsCLzrQwkcBV6TltVwmko/3gXQ8519kcrYuoOb0BTboRj/BSa2h3ACr3sNsNaQ
u7GrprvEldOf3Shg3S5OEf/lzWyVXY2Ta3c3JnP6g3R7+ct1Wq/djZU98VIu7oykP1/a2CkZiCoq
5RC8am+c6r2VpEVyJ9J1mpHEFOgYWbVqk70tJ8Pc2e5grCF8DMc4FTZF7r3uirgNm4a26GhakN7e
d2YtcOJcjRX34FglctcbTW2EXZ3msOONZsif03RA673PhmXcLUVdjacszuf4IaibqbvPDLr9w9TH
FzFK9DyOd40UJe5QugfRW2YUK05imVUb+qkh5r/TLJnLT2S4zndTTikmIyrtmicYDBZQerE23fqh
5+dMe2kvAGLozs/Vo9na/nzExTyRDyw+AvXeAvNcREFb5vplkbOdPcSrGON9i1Bc892zR6/6mqRl
zZ24LK1I8MH2JJoPR8/tAv+blyW9/JaYi7YyYNexW1DzRB7X/2IVLtKa4eSug/jYOm4e/FgIF9VO
FkvdiaORxrMpQneJKYCGs2n1dFkJJQu10GfbTYsRNUbhFUck9Pv0HySSjTLU9irX78Icx9bF2MRT
7SlOXHS6H2IZcGdFZhZo45OeB3P+DC0xRjrMbMzpGd3ETH8vBiu1vggn78sHwatiR2gxJvF/nY2j
/HBQcmPwHMmPlvwDzFlreprndHFa8oIAonXYV6Zo8l0H4tj8yILVqmv00HUzfETpPGseinlqfUp7
csW/u6t08hXVNtdQbB9jSJ7zqVUO5n7J3DwmIPYQbIbK7e1P0kLvFiDeGUZIpJOt8ldRen2R7Bur
sHPeq1bHUqHLAP30I+tm2DvoSFb/IqlfJiJce9QtkatZncRZItJLtxm/lDaNT/vcqOWiohlAes7C
JZFTfNJeodNnXQWj+lFl66YSOdls/WennRb3YHI2IOIY6N+ieGOA2OQ/KJn0SbcbbSy571Iy6GRn
xV71PFqz1qcOe72GUr0zqgfZoDCbhEGFXo8dea1q4hekABUSg6a/Lo4MazUFSPnkqTNQp3OaUj85
66KCp7T0/SRcqqGPIf7YC4JRIW6lgfep6jM+Ctw0MRVFqOdgUMe5CPL5VFSDY50a6fbOXdHMLh3i
RhPkB+VBjwudcgtmG2GXdbRWw2AkGA0ESfpd+uuYPCs4jla4uhUKdEk7Lk5oDAOqUb1IqS9a9rK8
9JsMx26NSwJTVdoN5lDWpHCxQKG2OgxzYztRO6F41WJiqrNgh51gRX28yEyDDusaf48aZ6ftlVzj
dIf1GGLyrjmULzDAEWleBzP/nGqY31EzalccbRiNL0HtJXZoNSIYduNo6S/GauoxLOkFxKvDSKY7
anTISdedP1OzynCe2WWFZ78s5dx/pZo/rdHgCLMLyYXi+b5WgbfsaGkZ4HlkrZXt0bxA2sjzdQn/
LLb4742pTL5VLhIrkQrGpD4t7lo+YjVa5Tt7Vs2DFqaRPsX0ACz7dYzTl5F7j4WDUvunu1Hr0nC1
Ck/yYFH/i3TdllQjfP7fqMoHggM/92GZjSmYapR3CPIhAIQNRVgbfW/8rYq+ohyng06FhIqyDYPY
V/YBJ70xOEoEMNxw6msld75uuJk71aJD3ZpDj/GAMSz6k6r01B6zrFqnb4SOlhNS4SvzH6mYchgj
WCVMx7inHWx+TqbULg5rsk6rCKegntqvsi614R9W7LMttN5it9u3vTeV+9ZMAvHNHDvjL9XRv28h
et8ud8bUTTL04F9zrrI88/cGTvUiXGjnqaj7SEs/1L2bn4zYzer7Ed82GZqoow0fTGMyDOJvd1G7
xIjrde+R0XUPi56X+TjPraUJbP2hYqvn2tnhk4eBrlkFgLNeNa800ZjjhFiyK9c7/J3SdRc0tWvu
x6wjLgvJprvkmcvYLJ6tyUuLD5muzfpladAH2ud20zX0T8n5I4J9cXmCqeffZW2ZqkjFmVqPTgbI
9hjwHY9OubrsDYeod4+Y6Fx8aLzFtvepauV9n4v1h6+gOc7tFpfWZVY/F27VfSmx5upDvzUIUdqZ
ggNE3anyQmlnkFH91S6/cWr0N5ceDCO02lV5j2rVatg3RuX958kh6fe2N7XVvV00/n/j6PTpLuHy
fGw6JN52iVdA264IcKvIdJsy281tUH2cuCZenb7VNDhCHeSdrrI6fsavwO7CfihQekED2Ep3qJtY
r7PK8iYkPG7+WCtet7s+tXhpVZ2v8T3vcIeSYVoTxeou2dTH/IUfId20nZ8CDMaeCrWJSHWdGIuQ
K7VtolS0NeYXWdX/LVVVfOAulytF7rr6PBcFoB4nIf0YK5c/dPBoyYxmGL1EZqNYuv2UZ0iEjQk2
g3tPLwzfo5h8ouVg8kNKy/TaFUVQ17uuF6RjaLMFUd+6Ja3Qc2x8SLPczQmrTDzrtOybh2QejeoL
8Fz/Txy3DazD0VTdPWfSP4oB6tFfXlomKfXuKs9DvEPiz+OYj20IyW7td0FSdkZIgJf9rb1WH0Qb
1Cq0Rhjvn1ZPVutj7yiRRaDAWt+X86C+jXaw8oNpGoT0aqdyOmmHW6DKm2A4tH43lvf/x9F5LcnJ
LEH4iYjAm1vMmPVOK3NDaKVfQNNAYxv66c8351ZSaHeYproqMyszbCJzbSe+rbehjOsHZ6MyFsfk
GueOV7Psr6AdQ5f6I5kiD3o143yOfSiEUzv2RD1YSROONA7L5hVLRNL9j9nVbf/D0XbYp1ix9eJT
d1aYZJYZfJG2oh+xKOm9pETiNC6/K0ui72DyEY2fdXpVUbYn9Hfg1y4NLmYSrjltQur4rp68ts06
VdvTD0w1jzitoqb84VJb8dyQ1fbNF0v9026N/h4bf/wcj6h/OjplfkNvCXmNKR172myc5Nztgq07
l0Pdf4vqpQQCbXh4PX4/y29rjTydehMSbx2O8edYh8l2qZY5+YrLxcznoCo3/y2ZhB8U4+H6f0rL
2cM8EX0QXynjlNSgoVOdTCudhyAahoc6pKlKuShiVK6jst+2joH9gv2N4z3Velrmiyb+nCITlUP/
KGezthftK+F868yqppfWod99UFuzn0W3C4VgYLPu+Cb3P74ZN3X2rUH3Lx2Nqffgr/76r0aaOeWT
ZCU49eObF1kbD/OQrYMgA28JEL481o1k6dzBLtF5Lt3YanGYC+K/tr0nH5JcueUKmNG4qRaytx9X
gqOuumnjMg8sP97O2+yVtGJLIM+d1+vq0gx282Jtnd7vw95d9GWOnfJUA8ksD70WwTXcnCHIKu0a
+77j6RA3fnPbw/re6a+Qr6G4Vr3nfXjVKGkuvKVFUT/F3nfHNgSqLQPAbWotIIm3rR8JRjB7bstP
R4iaspXNUDEQaPpj1eUoCKbhjApll24xuo56Qzfq9Rl3pnU/TuMkch15hCb4Iz84xc5j+s/trJKu
rVwaHz20bFZa28X/Gex7213dSeFVVIaTd8eKh4iyjdnXe9nnNT5NbhSX58B0rkynyYil2AhZ1OnW
cZhyKijFjf5v/+P4ddPnw7hZdhpXcfPfIKajKtYw3O8ajY/bnkqn8sCOiWzdH+RQDlPqrwtQkdc0
ARfKIPrhZB9IKs4MeQvOk7Flaj2kTk/iEPE78fDkBla7X8hNAUmzsXunmLCWNd2yleW9a0Rwf4gu
slMbrNp5FcM8mhOglxucNqj1796euEc2Cmw7TzZIQXXnin4xOdpbjEhKtxH/9SWW+CmGgZZz5rV2
nfNGj9Jddh8n2KtfmaO5F8d+S6xhH8tP5YJZMjOgVcdZzHc0Xkavjs7r4bFASdVxWK3AOSk4VeVa
jxkqfsc8Yq65LUWfDO76uVj0iYXh1ynoWdlfr9BQDNmmvLYGf2PQ4R1NqgAzMxvsZOZHj2ljRdF7
5ZR9lDZ11dVpNawgLXFdjawbtX1pZS42+M+NRYZ92rKuPT379RFdWluKKQe3cl4o4vIHIofaT93d
779qy+/u4tVFhGt1jd1elaZPxKwx0GEuWuO/CXamfvHb3tIkWvLpzwKM4icWIN5Hx9u3naU7jrLA
Fyf43idHM6aep6fHxedy+qcX2/+GwbUzFyjxxdNabbFhIgnBfoDQjl8s+vgkhm67W2dauHbzYE08
rLTeBn1VgzcPWGO6zusqWtu61BMRbA8BbMCa4/Ac3vdsn7T50DeJOqFn897izpoSdMeumNIwtMqJ
oe//363RifUXlE6pdxM7an6OfJIti3H1K134/hzLfJ2c+T2gSPxnNjrVDFOxLrh6ct6+2RMu54VC
+Z4UMdeNQ/WPt4ed3UROPu/Jud0TaX0b+nb9Mm6kh3yRtTeeHF/L27qWb56XUc3yurHpuKTcn95n
5wSmyuNurcuLd/jlq3GHndfJtuiRtWWP+bDVmCjhEsqWTj3XbBV4y17t6WqW0eNrrfja1tJEzyia
wQ45PoubyhEhS34gr7zoDbOa1FXI5Yu9t+0p91uWVujG1h73hnY4fm8IblUmSqnbtImGBtiwW+o3
jOnLFhMuGugLDsTgOG0wt6+LYqntBFo7fUxBi7QMMeIyZewxwW829RT/ZbbZr5HF/JiCJahz17hg
D8kih/VrSdxxPg2z7an7Pqgm67chM/BfMjVLmc2y9h/KSaq/McBwW4hD+9/WtWyuxi0rWdAyBE0a
6Jqc2RgI8Z/XAp4V9Tphfj2Ns8adoi9h41O+/XZ9mwZ3N6eFBaYtN1SKq08zLQs2C/2PpBx2CLva
mj8Tr9/f9pCrRx7gRNlYTc7HcNSbf9ftSr7uhy7tt5CmYD1ZtobcPNgVmM4wnvOzZDtBppTW/tky
DI+FP079NYYEdLPd0EM+BntnzhoTQOYE48iucGuxfHfRPs9X7Fnlk5Jz2adRFSzb2bFmeYn3wW3u
upuAhCEn6AbALjnQOnFHsBld6u7vAZh+ADlPnZtti0c7r0vNulUXmqXMDzfev8eEtcq0jSPvxQqb
mnlwj+3HkRjKpYjcZP9NbypFZi+MbnlEjy8zLI32HyopgxecDUV3rtrI/zbFPmDdFobCkP1wJMDA
Qyx+r1tz+6pdExShtfc/b7RHnSnTC59twdW89n7HCIeHBda7xi7rLZ1NNb6w4kpqaaejlRdBddEp
1n6pn7ZwTCqkFGYpjFjD+WmNLTqmKh7bR9qao8nnpnG3fI9C7aQJ0PnHUBFm9tmObcdjIhZpfrcZ
wH5i/BqbTHmkLz+po1kffAxhAt4GlssFJU/5XtqSl/FPDtBs5+OY1BMbY6GBDSBW49lrQg4cYLNK
hStuzXSlx+Fc9fNc0Moht3O9juBbF+fu9wVFWX8fVE15mblR3gfTuw+De4svc+N1QCHcJaV5tZLa
ZSWHWKd0B8/EeMi2lPtYrVbwBTgYqCtzfPBoxiGsLtqMrFmy/eX9QibffpVULFBsdtweDkc2Q0rD
NX9Kr5EWHI6lH0M9WLz6BHPgNHyMvpf5XdzMeVxWtmCzouP95FVNdBFZfBaA1z16OOIq8gsHs3HE
zeQmPztBAD5xJKsc0SnMsZ2COPlW6tax+VBTQGcxHgc6gtLy4GNmS5eY2/vGySpHqSoF9eDlYdIC
A6XnxPQ38ohjoX2AyLgG4lA2GKpxxQWQenvnjracvD2QqxZhbbbmIXRm7p2dvm18AqE8xMM2JIw/
+A676to5Ve3lgXCP51KY7pcYI1ZltoAYVS8mCvHJnwWPDW+6xspatUjzuHde930L6MA+ZRcuv+XW
BMGb9LyZUMElWJ2HmETYu2P3m63QJMXwRpVe44Ol9uFf2SaVk0KaDfVjrWz9uMwzPMo8JesPt2oi
AQKJmR4p8CZKJxZM7lUIXJt3Xb0/DaXY1vdpW5q4wEBi6lPfqxTMDXE0d9Xe1vJbciTuevtaQ/z6
tR5+etHY1deNSdgqPBz8P8Z93zixxPskX94EGEe+kl19ai3j7yyj8ks3Hb6BKZ6Ce5mvw74Oebh7
pbqM3R7t9zJu+9eDA3rceUqV32Jy7vyPfuiiMauhoPefoRLTHa6DCGCM7XVW1k3uDj63TQnZktT8
hX6Jj0JFkVjxszliJZcSmNi69LPlWY+yQYPweIMSf4fCC3csIkLakk3NrsmP3p50rrdgOwrLEt4v
b11mK3WspJ/Tct/G5jRq2LTc+N70CaSTWJelPaYvp4fOeFJeN/0NF1s8L3Lz2NxD2upmi3uw2Nk6
u1ZZ1CTjK0Q8m1pRVSfXA+cw96MNGsgkx8NSK8feIkq+77Bo7QVEed8e4iac32UHa/Y1++sqMuUs
A4U+7I5cMgUczH8M4Olm9jC4dxPep0u1Efn90BgVKGBHFguvBw7d8mOu66lJaWLGGoLHAKfODHhJ
1tab1/AUowMwO2yfdKD9/jXRy/CP9HCfVCwEXlTTrrKmywJPqC6klfKBuPdnHg0ysuCC/CQ6smEK
msthlf6QJ7hb3SiksryH8gmYB5o+ecRCJ2zQmyUCK4RkHP95PhNH7vUzqa+hWUNz20IZXlnE2Z9H
Iac9UxgeltygitSLEIoK9JuiuuZVPLiXm/IL/38Vrc0LlCt+ZZDm5R+biR2Tji6yYHeXcDJZHDrT
U0NU55TWTmN+Q/9CERIcGpQpbqR0KuhJ6VlvBpT3Q7gN3mVWrfgexgmVoxOm+jN3Q9kVzNz8Y42w
FyNcdvNMqlbQ85Po4vKvCbvpP78ZabZ16zT06X3w6uP2OD6NmKasp1l5VkE7adWnsRn75TXYtLo4
9HcG9FEGQ1rXTEwnsPdAnfkskQv01R3v3oZS+m1k/h7P266tz0QuB2ZD25g4Z7y8R3Vt8Yif09au
95cY1kUUi2sGlNZNeWi8SgwjC2jSYhNw5lAHzTw7xw/v2EfIxKTfGU5jyTLATrT4nplot9/Weo9+
r2PtiMz8/3z0LIHIfEdYDQdutNPiT+4mP+zJ1A5Mxiz/9E6JHfRgDax21p0dnrd4Fk3Ofyneq9Ea
nfekJ2gk1e4s51Myjd6MmVB0gPCsHjRCSw5beIIu8wUwv81ihEamZdJgKFV/B/2EKyJZYvt0ilXj
23lbDdXxWGK7+Wy8AykOxcn+18+RfJCIvdeztAXpcW24h4WgpNygyG6UaFZ4zeuEZatMTdoVeJN5
QFhqXeKHNoiVdfWUM4iCSKBePTJ6VmvKvM8g73Vhm8Pm7eouaWPoZ5fRFK46dreh2LgEAJArC2AO
X7nfk+e1sL5xv6ii7t2RSWV1VZf2m9p/4rowc+/tnjwj+6wM5bXzm0vSVGK+8+E3eQ7O7cBKtVd5
WNF6XQPUt03mRRp8bB5KHIvAUXAhwFOs9/FWc8MBT4w62dN2qBPy1LigUJJ4hpfe6tn8KeS4qqex
beAj0ZbUccpgon7SP4sjZVCXYepEtGR5jx71rW/Iur0XOmIKsuaAPAcsuL0TSzjdlJs+0uIhCEbV
FUlVxgAowV7dJ4nVHg8WIZAPw6zZiJoWFwrP32s2+OdqXIcL15T9bXA7+7/APYioqG8KVZCcoSMJ
XDot580q9zb7v79WMVfefCq3tu9/7r2kid/awH6al6pD/773rNv67uSAr1rHPKUxe9tHGhEnc8Up
BGbB14H0UzSb9Xvb+NI5LWsJl0V7s95DZev6PDs+tJ1xKv51NaPDue6IeC3E9f6iUoMD9ATDeWxv
FWTUnMmuWvmDcoOL9wxWiEcXieZEz6zxxrXJukuZs/Q1OdogyqDZ2vHm2WHethZRf16xERRfZM0G
xrXBE+pzhJ+802Y5hmyAq69omVYtT4fqLSuVDBO3UAtHfevAVT57cxgs1PRNorDFoVzyspmxIGKL
XIx3FgT1+0jb5H9jGpzVi+/tY/QfuHuNTCBqIG86AKE9l7p2wHjQItL1Vnr4atdpVuzZzuyssc9S
XstO4Bw3H63fXD1nn48cHSe1Gta8PP6FluEfbgxB7yg1JP26NxsvRfxjMxqNSXJq4jqIqKfd4V6k
VO27qMbmV7XCI+PVMlQIFpxkM2x29uI/OA0HgsHAxTWU8z2eT4dRi5uDFSCEoB9HtghXFeLrmSzJ
fX9MBONFhICgkOoCNEXboNQXkwKtgIkj+WeAN9vSvQGFKpzO2cz90bZecZDvvrHo4o55gOhdXZk1
1rmQFZsFOVmE4Z3r39QHW00tz5BfHNxwQb3DlKugtzM5+GZ6Hg7MIcDGyJlLB0VpGyWag8u2DtTr
eAr7F9Q8o/9qu3xPv0JlpLms1PI4ne2tDt9FrNyITTMBhb3j1lI/wXtQ62CWAeHc2XcTVn0xWksr
YC7e1lD2wCydo0HepPcJc8TV3y2imj5DTdn/Lv1GMoLe7nzud+/I1mSZP5D6l21xs8Sqcx6z+j7q
NVofm952xRWUBda/+/9HMXYsfb5gep3XqvEQG+zKiO+HOuoxbbudnbtEVQLP3aYRHkvYRl33nZbn
JrVu48wdS6xdZoxXfvhAGZwsxCFdthP70Z+czueqivjL36MOAg2qHtsf4bA3f+2jFlWK6MT+GuYo
rO/LaSRnDvIuXE7OodSHno7uv1jJyRS4Ogn9oNZuTcg1i0d8Qr0aW16z4gx85zhz9a+z5rjO8I7G
yJFlRvuNGQj9+QLeXfHsGbI2N0aJJQJn4f6eKelZT9CJLrCEq/6sSKM+FpT0mg8gnDCP/REYcvJ9
y82npK/0LxXNwztR9QkiJTNX8kQ+tYuuoG7CvBuwp8dFZBwxJbKdCf2AGZOF8Dzf1M3DLCN3T0WL
11buVTPg/Qg0+WAQAqAsOvbg3xht2PxivT5+I8dtwpxkio/3LlSOk3L3eDDXLXaKD0ZREvPILCEh
pcDD5eM4zUD887hbUaFwtNS/1q23/WwT02o/Qr87Y+H3WLcVrlXK53ju3R2kSnKLlfNqttdQW2GY
T9OhxzuxW7QMUzv5j2HprUeB1dVS52YXiV1Q3pSd1nFAFs0IXVMMsZpMvtRI3G747PHQx7MTnrZj
c3xWoUZ1FL0lwhCe75Cf1oY8EIhg5Zm3GgXga9lECQV7VeF9SZ/wXno+gi8vQba6gdOwcFKOoT4l
yRQ904YMPyG8vOkpnltxWWx315dh5L/GHEO2T44/bHiYjUo9W30b/QuNpEuAcI37Ezy8/zzR+v6E
LBiClP0YBDYYgWMUOqo9itOgRgBxLX0QJqvC0vq/1qvNkQrUIbCjWu1tTpeJ9GU2UCCqm/2mGMd+
s3GMxc0rsCsRQ3jYjEwpuht6UFsh/S4IuuW+JklnoROVkDVFH3QVCjDo/LeRZaMgW7Q3/y0Pyti9
WJBn5KUjnS1Xt0mSUVasNNZl1Tyv895NH02L3u/BIoHv4yYqNWnsH+YSgirPPxln5y+o2s57WmS5
dzmqmTIoLDrXBzPAo2aOtsxDM++7n6KHSIK0Bt9fHzCGmt7rICBLjJNMCTqWgPJHJK96GkxIVCn6
i0Ommz66X2G3Bu0d91nwpcu1eTow0PlI5jHEbfwIULsjl2i/4e+/lZlvg7iiZLLjFzB+f3msQy6e
VE11glffGm5/TeMDyePQU5mLdOv28bBFg0oKLh9gY5qRQ8SjjO9o0r06rx0YkPwIq+5DbwRin1BE
T/azqDcqD7Pk9Lc/dvHcTaXFkeyp9tlSyvbkLCSyQCCCxH4/+m6Z080iyxk9fHk8Ddro6U8wmP15
db0tPtPcl06xlMuWoGG0kl9GtQEDIX7/oEqoipw/kYdWsGg3bzjfsjLYT+u8mtZPJ0mdUYr0fC+8
al9gD7C5y7aw8Z6VFay/uXb1QWaMN+yFuzjD90qYFv3RjL/npU/svbpT7TrDeI5d8uSoNfSzo4yh
ljECk+6lSpb+G7N3ByW9N9UzRWCM8hqN75c6IvHT2yrA+Bs49t3vxvpDlIMXZRWYEZ8Z7x4OY9vG
pzImZ6KIjF19k3Y94Ba5IDlCPSTLCpHcQEGt9nl8g/pI0lITHIySdPYAn2ZUrbQPcf1Dro2cizZO
1EfZlBQFFAPBC+JYhFwOn++1m4MkoFRUokvXafTnx7Wzqp8ArITu2k0zYCyaKMpsWLXzneeb/cj2
ocHVEcO8/T9QPRY3sew3MlsFBHeBJRrmsc4YJtNtFonst3aVg4tcbXdqjNOt7skkrfdjZb/Cvdti
R98xtLncadwq29n1jWdeW8Cv3yI+ditTa8RUwZhZhadm3aJPg2O0eNob41ZMsLL/GRxWtBZ7yCOh
xjaGqaSZB7uIjmgB+KmlWC9iTQZWaCuvuoJFi/7UO6G4Dz2Ux3DikitVHgcovzHS/W3tfmKdKykr
Pk4yuo8CkNnilOpJ5aaOPX7O4bo/jtmT4Rldv764DAG3cX8aX2JtuXUxBwEnM0aE9ROXOGBRXXk9
0nFZvzVTVFXZuK7Bny6MUBx1RPN9c7reeW9aa7NQyYWY++iEaNlsjGg9Tla3BD+jbZF/msbZPvHI
YPs8HHi89GmWAcESyZauQWT+bUhN1rMbjhZTW796DxLN4I8GFd940tA4EeqOG+0MKbeyy0h2tkLg
TdfW9L46MsRZFW1xr+T9Uka6z6bZFd/80nOOTOMmY51Nd6P8yf7ZXju0UXAnZSQ/UfD4A2oEhwfl
NmEAZcwc8dIES0WUa5Po35stqDY4OMUPpY3C8qQPHesUrLb6WbarjYrWChzcpjzZHaklYN5pHrGV
UlWjRAFG2v3oEDIizVocSd6QP+A4M998dS4ApDNV3pldUENRvZYca8TljQVQMU99jKTFD3s8rlfP
vdSrY/eX0Qn25xBKQ2QLYp8oxTtlFylGM9N0sxOJtrQKDkgX2wd4fYna0npDLoUoo5oX8W3b4Oj6
dGNqvcMpoe3RV+kG0TML3YxMtIoQR5byz1hZ+0e+TFEy8h9WyOnQPwwmHRARL2k9leoE+D9BGCZH
7TNLbNX2K8GD6o/wy+g/9EDRvTcFAMmOpq9Hp9OESR4na70Ulbe77jniGXxESeP6BSK49brilrM8
kbTV/tGjVdtPiDGC7W4edrk+146KX+E7hz5T2+S+CI0H2d02ON2vHtE3kivfJjuus/T6RIBhqNN2
9ZoHRCbLSAB8Z33CENbojhGqZ64KuSlc3cnXQVnRl8Y5N/mD2NBbTgLVuQ+fqcUjgnnAR7X6yd9h
i4GVPJRlxcRKKdEfbjs0WbwtvnVpj00Y9KuH6e+Cpdz3czc7XZdPqAv9B8iQ8mWN4f9P+9QrYHiv
Ku3TPgvIfWscW2ILvAY4iKn13Ub/Kk8MFuFpOmp7P92ySNgQMSreUKytEIstpFtf7DFSkLdtXPef
1Txsz2sYV+q0lusIQRBOY8kmoQ2b3ga+DxKwWd6EgaAb3Fca6V9qz8mA2b+k+nzq3m+nL2zdueeO
bhRWbpC1tY9efPTjW9A1ek9tRbOAcH9rnXRt9zUPR4bcWwBO46ThAqON+ze6ixPrtRFMjArkUxXf
0j0Rxdkn0lJc9iDW5biv+o1SjyME0rBp6Kq/DYvRIU038Mw958Iret1TCyFglYvueOQKx/xdHrhu
B+OXdmN2jspBT34WsrAO6BNva82tMbbjN2dxgXUYVGEX9W3XACn5uHRnIuuG9lKSeP1Wkb3bPkx+
s/b01ELfo3FRnwcm6veHrDwHwKqhrNkjK5FQUofendz3dOwUlkoi/zFetd2fF2fV/UUNjX3k/UIn
DNIEEJw6pCJxYbM9dxkDZNwsGHstwqzBab8YinyWiyZHz4XToH1Bil+Ts4rSsr4PpAUnVEe14CTE
3v7Y9fi4FQjR+sJuwmFg3I0Vv4rcp5/+fKD3UVs3XBNXwSpzIuDDNd/G/DqrCiHmJH31mChui7Sy
jjpMEY5O5XO8OQ2CofLwk5c6IeamaFdyCR6jjVkoI7wj8a6LrLqediOUW17vIdNoi3jpAbp5GM5M
sOtrsPro0yqfhevUKWN3ulK25oVRbRj+iyOALUT3y0IhN0ncZwFqpvIUEGiE7kTag3NdQSdIfYip
JBtJYB9TI9u/UQRPVhCWxssbjfP6wwJm96iGDHwpKszqOA1IzUikUwIvq9bZ5De3qXV96lrPdvBZ
5HItrFoFENPjprlp+op0+FCo+NOgnKAhT8Ia9EPsSPs1ugHmiQFhboM8F8isXOH/69hu82MruyDT
wbE94/Kg9oLt9GbKjFkPCIJt6eVjD3mk0iZxxZC3hljY1PDcd97r9thzyFe0GIsVWueNqradZoJy
6lNt/JvGYNflk79vCnTaUnWZjrbevmNxPb3qYVoYGwk6bTKF9D6AsmRRJg26ttkzr107c9WcZsDc
7ih/BPzIF8+LlvduJiuq6HkQMIbRhtB4ktGk7jyQkkeQrBVPUf/msOBydTxP2rTiFNcqwsb/aHZW
cFA/Tlm127bIb3v80KZUza+IpQGvCNWiW4ycXcE4vu7k5cQDobNp4w+IZxOfooDIcCwZsTdEUSMa
nBW7mU68W1sTTde1DOyH3l1joDWHTcYZ3SPYQTB44b0dsYTFboMWb2S2zzBsUT/f7+0W8VKDUn21
pT2EJwBo/q5suVQzwInlfaHvKFNvSZpnAIUgLpo98NrnKFDru+49e/8uvLpyrwvRk8lXv4X7Vc7e
ZEHWl7X994Apm576CUusHPW7j+W908rlXLp7e3YR64v/HPKpwn+2svchRRiAQapwZ4fE8Hi0X4hE
AKhTZg7ezeR13WfImDwBxzbT7aib25FRRwf0bk3xmd/SOy5sQqx30uuq8BJ60kVkG5mucEDE9oIt
3U7CPeHPeK1Yc9r5PBNsewlo96OqemqLhbL+X1/59l88BxEf4c8bPpfsMAG1HxUbjAKoKTmvGlg7
W/GgWaBp5YqM3Bb+d9AzZyoUduo7NOwW/E0WxToJsknU0w6C6J+LUvavcpqS8HGSm1m/ay66H1wj
Jsn9ENu6DDVHpSB1uvCLzRhg2kkHU/O0MbFWhXBGeWREflsxX0urL76CLkIRVbdh3o8juEc/K/t9
quE4z/wyKCEZWNR3iSR4zkFz3blwSWMSBYOA/G9mXVH8s8Ky/9v2KDjOYo68JR8IDH4LGtg2MRnm
fw/YJFigmuvj0+ZYExjcEOGcJYkxzwKZ73HH2z2qz2aPEHGlehu2X8Ak43L2Ich3BlR/IYqQxZ7l
m1wrV7wtKsBTfw1CtPW+SbrfZec7D96kgYjaiMY172Kc4ctKgyY7h+0c90gQpcmEkevbEvUsenB3
6rve33rM+a0OiSSMIe/qlPhUZG+V1J5pXcKXOpQ7Unarih9nb1ji24FZYHrs0Ig2q7wpqX904qhE
SgtJGgPsjYO/UMO3gRdUdd8gKZyuyxaNaNnnkIGgjHv6UMKyJtpk1R06t3w2VNJ4daaDjsWjt+CX
cF922KXlvDX2/sHLNW0XIRZhnysuvgtMGUKqZVzcR2xOneNrgz4oCx4yQlEfd2q0TuuqHpIWY5Pc
iZiHrjurhj6KH2Jt033YXdRiwjHm9+ITQvjsEnFVnjdYOv9B7V18kmJznZOLVepfzbb6I1ATYuwd
BKgIxI3p4fHakMaR/n8pFlsN1jys/xY7Nt/aCSlr6kxr8+7jd6VzW87Ts3X4x3DuQwn811u6w403
qMDoPMOLToo3eoGcLPphz1rHD/qvPppHMEhnLP8BsrQsl7jj1p7GmY2RrG04ZHQ4bfWjljYkGj2r
TrKuN+AtIgJ3zqoBwcqdPsCJ1m4Gpd0dYUMzKHB55kLRyYuAy/JeJkubZ5Ys2C7TS3jcS2Z0rmR7
qbm1Z7teUsOWNd2a37FM2YAmhk/7xpIH23YUhHh07TeEEbvMHW7n6HFTUz9eDxIsWS3zOZIF89X+
TE8q2lQ04MYM1mwjgv3ic4yGK/HWHP2t7ec4t0Vu3i7V9hELWuY7p60ZlDxtlfeK+/Jqe+H6Xc0l
nJxH6gh7/KJDgLbEVIpTabn2dz3RoqWdGNf3gK28FzbhwU/6rZQ/rWUrP2wgZHC4Y2mHbByn6u//
ODuTHrmRbEv/lYe3LqKNNA7GRncv6LN7zINCoQ0hKRScaaRx5q/vz7s3L1WJTOQDalWoEsM5mF27
55zv0tvjNFX0YEheBTXBTyHprtK6o5JHci2Xh3ZdRl76gnDMQYla+NuCvemRtotHe3sgvntQKvZe
F5nX1muYy5hyuArUm9bN+lVTN+KyWDOqrtGbgXaIGsCyNQqshcauuruSF7XcBQkRSM5lk5/dJEm3
oBnxN9GUYGDpmS6JJ/buoMTwWnpVkJxE2SfX51OlREbSWVLAUtkhiniSIc5tkD3TjIyzI1SJ9J14
jJjpw9UG/dAjsrRnjajr+7oS3h2zczL8o6AKX6qitr7yaOplg02uetVXTXejZRL8GhmT/KmNoLwf
ZCO9bb8qU34MdZ971xXUmTSicSNejcMQvjPe5rV+Rn/3ElaeXtG7ycFTfRi+TJS62G8pf/PUplAr
hLMBRzZiyFosJsaPqigucTDK+QnrrTwPBloj4DicBce6bqz26HQ04qle1eDu6SJkOMYnHENIqXmI
Im3cH72QJfsMtCyQbunUPwBAIuWZE0t/6TIhfsouWc5dYhc0NUu0cyyC6/xA9Ld5xK6WaNoa8GUe
3dRtXzPtWF+GqjRyM1B33NudsOJj01nWLR7PuH91anJ3W0Cl45G59zSxrWrMn6gSZcvjS0YnIuAt
LqrVAbbckDcocug+gQzwZnEMqiHQB5klS3twl3acd0k+YA9VTe/lDyFzSrN3qUMT3tMYmMdbYygu
t83sH0ILmkc/ON/cNXeekXVER83dLd4hjYWTHTuCDfoqdjmfDNWI6aE2ef9Ie6xIj5gas/tiWcf0
geaDSqNs9adf8P1ZnlLS6rMVgenLhr2b2YGmT1dn66aLA3bouiYdtmnczA0Oy0yj6ehVXtDsykW6
h6pnWPo+TZin8e6AjkyBZOUGzTnHO0Z/i1bAdlgUKW8cDhwRt8uk0+JUNkP7i6U7eVllb407u8yR
qhrZkZPJmc78aVGFX7DNL9NFB5x6N242AXkb7FXuJqfxim1bqVztVxCQpClmOvZlwX1lYgo7sOct
1YjMW9kEXe3YlieS6tkbHhJVELJUaIUUQHH7Yi1W/YPMBvJPQ2MUMMAyNJKgiCHnmWmtL2XS2lCa
egYaHqaOrPYXaN1TjxRGDxvtXmc+RbznUiiXC/agymV6Coa7/mdC93zmyF4X+MsJLdMedyzMiWQM
sOS2tsOfYmaV7RlM0Hg4r8cwoVcmyGlRjg5fERbLb5JNwOYF40CNCTlP9l4LFvfqEAhekCHSu5lQ
ThrVZevqg/IazLejv0qkb9W4NzaV+adTB4u9XxX6QtQCivnZcbxPT4hzxS8n83AlJuM4/mARaWY8
9pShe2Jy+ntmZ4Ei58KiE5Fxc0y0rARityXnQpI8Xh0jLLth8I2YbAUXJKuUjZJU6R9BQGba0G8N
NjkF3yVOesVINOOan5QCeMj05HohlIta1yeJU+KpZkg9H2U5zx59ykJ/joNQ7+5A5AEwEqKuk8x8
96HlsjM2Xdeog1kEltbEr+cfyNp5e8Q859+RP8+W+7XHenLkMI/ACHR+HUhR9uKD3BnNMXIKybkS
ZEkwQtpluZlTOds7AqyEMoPeVxeb7lu5L9eQqCEEAjx+rq2cX81qB2+DaYY7dFpa5LWqx9ee77ji
K/erC2EYzG71QEoqrySahViK7H7qpCv2S5e4LCWJwWmfYu4+Wx47zpZpYeYeQnjzQ2W2+7k0bXFZ
F/IAyGWuRtEj9PjJYDf5IjmXopYy9sjaZ0HP8K1ipMvoyHqttuMA/xu/YoL5hj+Qsy2WifWBr9r8
xPEI/r+rUaKOhd34RwoAQAq1tkgjWV2NDxFaZL5NW+l47yHHqGGbJ17tbNw6TJej7FdnPE1lUZ9r
T2TpJrHqwD2ifetqk4AaBB+hxdp99ZiGYZ+wk6O7QzeoMC9hmOuwgvDiR1NQzzec8rLwbHNE6m5H
LMiPenYrHxJBlbGfK2rbnRIg+aI8H5dbOV1bMHY+hcF26lyXf8QK6uJbtpJjOdAY5zVXhW2ZJ5hE
rt64cR5eUsu6NtxiP7/3mKf4S2AiEfzfs+AiUpV84yQQrlEwxaV/AtVWl5empJv9ZGetlZ3q1WTr
NsbRj8G1rm1aRMRcgjxvigdTTLkd0abR36owRHZy6xoVcbKZQLjrE3tMtwVp8ztCoMQVOVa6hLX9
ab4hY4n2HlB4OFHjVAOW1CEATNkVlTtvHXsuPDZNhpVumm4Yb5y4yz4c1bv6PUhn+/uMLlTnW1G1
cb0je5TeKdpb5WHSS4irjwEI4aZnob7HjCGdn3xPVXypUu3csU6mLM7am/obzYJAoLHk99k3Ja01
eS4AUeUnD03wfkr78XuAG+lDcJZ86mErurt5zbuvqsuScZe6fT091Ri+tymxW1L7LVMXazUE4Zlh
mclR6GpC9UxMusscWMHbAEd1spexq6oTPde6Zep2yOrL329myq2peB3CTvT3ZZHll4B3Z0G3auk1
xCNjLw4DTWCAUWVRbmwc9WTyAMJ/saer8REnevhaK3K8kT8F7bdkTN2rBp0zdEz7jMHbhKjIWeR6
RfJd10gyuCfofTJPA7liy6YyP+vc5/vKcuKYkcW6Zk5xHo9fPerVh8QuNdWD60wfnm2mlzln+AZF
5iD3IRGtb7nJumqLecw6irorvivTcyAvZN1HqFkODHWsy3KbImKP+9jNUr1leLP4iuNJf7e8vLvw
RrTsiGkePFVNJuKLw+CDC1iTWZ4SBY17j3OWSCSYoOEJGnKzbgnuEUhp4InEF05PWG6CCsE/WhAe
usg4/iA5B2nvHVEuTI82rz1bYBFUX2gjdeNNgj2v3PsMGh3BPYr6k8LdkwwqCB3BLuVAnSftoNyj
4QREjK5rNZEQZ06cTZ5f3Wo6y+3qBvrcOO2LsJcouHWpHytUSFpDdq6w9c+xt97WOSU09czgy1Pd
OqGmanGKeL94NCp2U2A7e5hdinMxGgTmuLhqNwVxX6Z2Fv1CynNxrNM0UaDsph55KhL0R3AUMLAC
0MQ4aU5bkJLMpR+vhnDHYbeBJN0F2KliYmD4M/N7hsqiZcl8NqBoppFJaRUTOvdwuVf22hLuSwRy
znybpq58ibt6qc7lUi/3XREPd9TBiJXSdRZsk53b3sT4RolYW3FHES6t4d4h6e+Qq/LGS1frcP1C
+n+9C0TfpBz9HZzTFLOGhtuqCJLzSTzNASCkveWvsIC5KyoA8cIqdM4Vu/3B66ty2ltIjWy2GOny
HRyD6p6Zv3y0bH3uE2dltz7GDVQTGFxt/dWUcXBZbZb7iMK2+tLKvLodwS7rbVLG/Z5TmCLIRpPn
RKGLg6nQGpI+08vU3qMM9zngah/ZOgja9aPRLq6JZvXabZ/F8R1Akz65oVXopfnGVCLkZ7XjF6tI
vHNDyJu7ioR2mMvFHXcdJsIh0rRLacxngVN9OBMDBi5DTuBtjKzMnfVbCWLlZ9VK3GNWb88OmXaQ
99PoenNUa6mDPSUdxU8ORKCIYBO2yGXFgi8Rgd5OdtUYi4u2/WtUiKBfjqHektgQrq7HTTFjOycD
57h0aXtIg5Fp5sXbBtc2DI0ZNyY/R059jVqcSP2dteAVuW+KwP/R9I3Eo0+BYHarO4fijR2uUeeZ
wXsr0jmLb5TO2hAPm30LP4SXr2e/QI+pI2sae2vftFSE2160rOA1ns6NINufbELsi8SH2Rs3c6bG
O/rlIR9WS123NwU51SvBfJYX7FQMF6c50GI5zHLzEftDn7ziHE27vcd7FG963UIXUqhbhPuLwZC8
JUCYPgyx0zxhIxrJw3IWVBtYHeFPdxpUcQp0On5U85LeDmr0gfo0lXdvSc9zvhdwkHBHpzhVogZ1
Y9hei3YOBWlB8NCMiz9BDJiuKbIl8R99wSgANnWroRHqDF33WBWk57lYTWxM+XPW7VTWuk/xNQpL
xS3cascZ1iWd3GHNIMGUavGIuQJr3CgSfXfNHZ3mCqsHrZWKDkdlUuJNbZi1HUfvOsgOlE3kGqS/
PPsNfNRvS0ICbBxDVT0s2k3rUxqnpv41WXT9IyIUiPsanbo74s8NbvGz9yhjrUO2IaStRhsoDvny
K6yDj6j/FDbGGeD++AB53kxAeiSSi7e80At3H81g5h8ZKui7H6+NvJNFvgKz4QRMc6apK6qAoPy0
k2T5JdBw4qhfh+654A+6dkVQf7dFSjqRs1gmvnY6iB0ZMaJF8Wnm/NoRyaypQoTSXnuY9qmTkG/B
HW9ykBkoEnQydnbC8KAU026/Jzkkzsnq25k+sGaY9MxScp0Ih4nZ3zn4CNk1hVx/4Cka1y0DmJU6
FwUtyI3rmvnSVuxfu8IpkhY4laPls1+2qTmrOh6+a5QPslAAVb5cE60ZKIVsvmNFpN4KMjbnvUkr
2s6m47QObQOfxQ63VVp9S62GNXcQuQlPeTfZj+kCdvFo890kUbIU4501hMuwCUEvcMjwOir/rjXD
uOFcT3QUTWAiumkDH8brr+tfdgpyMKrCwut3smZWFSjvhFwYvySm/eX4yU2P6es9QNBAFMhSyONu
H6ThNoGVkm3yIp8fNBMD3qxqWbuXXvKG8JbyxeMKbarhlQN8PrwFPtZ0IrBr/2qB6Xmj1XPN7rep
foiTgl+DTDrcQOZoGaLDqLImCuvee4ZLCINgyvKVXYHDPX5IggdqE+ZC3Yd2bwiAz7h9R3SDTHc3
biAVTg076R9kHPhmb8OoeGMYpf+d2y29oxuvggN7R251L0wx+0cstvnZZvqo3sjOs2ma0RwADNXj
9t2sjJlHAOfYq27DcuY4PGrFP7v4/qIurV6mG50kbXeesjhAQVNgYjY0kRStEToPRGD5b2gRodHr
PTkAUkIjs6eyDRGQgRRXIdZpSwULuiNdHL62ZUxid1t0KQbdwSRYAGilUrI2YJPxCsBLs3czeaAD
bovW31lE+SgK6PKJLQFLp4rW2iVMLrUjHtsuJonNEql3ZF9TazMMeBQ2WbeuDjkilZvjNPmsL3mp
k/xnxdmqh7nDyNloXKbmPV3WUB/x9rl+JPo2ecn8MXkdCcGjXXph7+2SrDbfaVVxv1RadO9dKQTq
EKGSICJHZG6Q5VEFerMA4nLknKoD2cL2ZzGAqQbmoZY4GrKa3EdMUnTZD3qcHldmzMaRqHHswjyp
imeoMqt9AM9OIC32eQznMh6dqWRdE1e8MfS5El+S5Z0V6eDmnJUBCIKaar47cGrPn5eO5X2T4GHr
+QdoJe8CovzTvqyBrkQqAwa3lWkYPw+VyO17W1f+CTfAkG3g7CR7CMxFeVzqtM8umO7Y0DqcrOIc
ArXVEcpZTz4jhB+IKck/oEYac2MDWLM3yoz6pZvc8MUmRO3uDR/ONfSurcPQZG1y4PW8rvKDZVil
h6bYo+oOuIdmJ3jr/AqbYTdbGJhGl28yHBz3MLUDfo0ycyp1GHU3+NuJSOn+KteScyF+eu1QurRC
CTiKZj/3k3qyjMb0kbl1X25DvPrvC+SuYFviFX7CiY7aFJM4xorO6EYTDY3jVQBRUjzMszFkeiyU
khCTKbEsyq+Mg9rs4SAkXjTDZbuaCdPWbvOoB8f2MbKnvs56hTWAAclp7yeudWev5Cd2wDOshOuW
3XEhMmVdaNFKfzOTQp+w5hbeKSagOmzLOqVhysoxhRHptf+3Brcqe6hyh8ZnizoV2WiN8WVahlrs
h9KBiQAfR7q/usBVd6rtzYQcDz0Hz1zeNXZEejkQmywOh0ce3lgiZtT6R8gc4K8Nhp7gHMg4F0c7
FEtI2ew49Y2ch9Xna/Ocb8S7gi/s8IW9G3B8ctrN7PCHbSz7GTgAp99OT/Q5Kpy9huDiR9h2q7Op
wMkM5zVO7ORAEzv81fhNk55sKRLA5zThrc0kh2bdtQwgmm+ATshsS0FFHVzp0bytJnbTyFhKE2C2
UhsDi/Ko2Qs8GOPJ9quezycsq3kvNSGCbZPQ3d/5HlQPeHsM3kX9j63gGVID4Qs/wX27X2kt0tTz
Zvdk0wJuEGJcwGseLMXzwMRvbwNvDM7BPHczQ/2Eq1hCMCw+5u2cu+jRA33uFJvwRSqC7fBg+US3
OYoR4D7Hmr9DWIlfpW/V2ZE0mfMDsQgwJ+XZBIZzcJzdQu/N3viq6zQ6l0d4uBgLeHMpORn2cjEy
cMobrwxqjMMUfAF+7zoCAVx/usS79DnwqM02ecXWv2PaV3Cl+KXkNPmuQg798EeGV4otnpJmYOO6
dZfAzt9F63czprUGIEqSrtWDDBkJeZipgnnD6QtUTzA6Nb3K1aWXULAsfLVKPOdH7LEdPMkqoKHI
9JEaH3bt+DFZ40Dw0CebW31fGqSJE4UJk9M5Tc3FGdOOuE6MHgvQo16ZKnK9CnACoWzkv7Vq2clZ
LNb1EpRDTVakWkt1R3S2r+9oQPvvQYsk92JBgVG7hb4dF7SwdQG2WBuiUbLM14NPQpVe2ZAl7Y8Q
2+O5Iry13GBzE+tBTuSGD6MyZrxHT43vB+0XP0Tdd9kTJnB8i7yDCy1KksacIlrJGBMxjF7wTdLy
z88k5rJ821UJFUXBA9QEPB2sYG2ne+ucOrH4UiyM7zwWw5y/CN2DOBi1nogRFAk5IaWy8sKNGR/C
Tutsx/ajqx95R82z66xsbQ+Dly23+MlBjy+28b+mBfbCme+bzzYxXYoFNkjm+/rqrqQDpZ4EeCri
vo7M9y3d/gnJBQHhqU58zBfkCIrhpgjlHOyFVdWHVXACIqMrWpAUPI2LbTdju4GHFvq7MXdHtR9h
qeLX96D1E7vIh/o0SWXeoX82SBQS/epYz5Ahd1PHweaYA4XYLXnY6/vQ6+uvXrYWbwpkIGcgO15e
ljXP9Y0zY6fbUdYoZ5c4+Je3ybwm8bZXCy7MFCAT30aCV4vOso1SxEEQfX9WDjbCimHVKfig9TID
EBoOOkwKd8P9K0ayvcnMy6pN/VRa+WS9Yi9m+m6YM6vtJmAmZrzDfZyGaGaCQ5I9TXV55AxXmNvO
arsHMctm3I39NGa4FPLU29ngL78WOLOyfdCF/XBAXEkZbhty4JobB5cHIknFRrha+bgbwra5kVI3
LhyZYC0PXTw7fMUeLl7OHVY1fO/DGfdV48EAJIIeqsOKnTGNOE84nCdXu5LAH4tev83sSdg9bKuv
IgJCNeoZPfmZlJWbV2AvgqGJsLTK+YF60Gk2MCFp5KpCe2cnx+B9Go2eslPDs6BNgPW1ucEJOk27
FRfTbaHGxLuf+iIsbqc5mxGji24+YB/NPibLCgRDu3Iemu2szonuGbAnx6+vH3hneZ91OrbzHdpv
YPZdWXXhebZIAiIeTITAkdb6ZGeD+wSE1bnii6W9gU7I6vds/8FCswduTk5s1M8UaQWvumbULEYT
qb4W8AJX1Eg6b05i33dNmExwyvzA2zVwvlkSeqquvd3QM4JYBJhvldb0gVvD+yy0IX+tqpzYsdR6
uSX3ln5QhTTVNfbeb8Npxv93Xcu3HH1mVNl0Tp60yenvYt6gIyiMkDkiW21+wSvLfnDIQkCKqfcO
AT2A9Ia0WMfwbdxnA1M5+nJ4zibNua5PZfxYtLb+mHryx5AcCBbuCrtj9GtarTQ1bGXDhA/odoaw
HBwwW4pFg42IeMOXtGq1OseJHr6s9bo+A9GAv0A1/ouwlGbxCZhvDIShC4+yw70FrGddXkTRelcz
w4Ij0Ofteuxkmh8ZqZU8cGxCgPJ7gvPn0us4J12pY3oDHgyMgmtsK49UP9rBqekL8zG0ExFJxxCr
h0fbkl1SdB+WoyCN0HxpSiC0++uAsO9eMffDuebbPZBWjvvL3NfFJx3FTmAuY+6Zh02jBz9KBuUz
HElL0cnD6cv3m1B4j6qS7Q4onQ4jI+PqEOZhwpioikbIec7z0kb0Wx36th5JBVwzTXEHqywp74DU
sBTrsaDK9SUt321bcmS8HmLH+KwEwuJOOGugd8KEMGu9mhxd5IKTxZ9Jur2/03xp31wT9h9toOMb
wD8CV/PU4wfpmta+cuQ52VDb+8W6W1VqP8KBxvpkwrJ5xB2BxN3xmI8dKDAEfM6I3wT+92KLjRew
M+RY8Otr3NjFziqk/8nDMvamhsGdntxsdujWNGAQN7FXFt6FrW5IDvCI3PRAipJHwP9yPKq8LtmZ
PBl0NzGW6A5Zfol5BbtavaXUKOaYCDDWdl1bvzwRF+txrYfM2c/5sOprmqZ6xPFKL9adrP67gBAk
sWn062dVgdm7Bd9i5D4dRf8TkH36i/PMfJdhbXx0J03sry7t5kuhbPnKohfeZUPVfw3JSQ67xAoV
EfnKJa01OW8JheQXb12nKUrgIPQc09ac6eZwsE8FriYccZlw2c7F0nfbgnMGqXalcP33zQCWOXZj
777EZm+xhObDT87LqJfllNnfMzya38ZBBu+iGZkXYefAjjhsJ95z6QwYozQzfNmmCn+6wMfy5aak
MaHFO5JYFZ+0TtS0q2h7uZuc8LLZ0+Wyntc4W785whizZUC1906bnNecoUSclADPmocFjgEIA4At
SN/Yke7dhEZ4RBHjUCrVdnZntfgxo7BP9LQLLb+kc4YWtO1MpgYEdRQI7KrO9Mtd8vKB4b4xLme2
MEhVsdthnIuZuLzxgmnOb2Bxitd+pC6wxjJmkOw407oUCp1t8oLa2sShDP07tYY21M3OE+8+OYdH
3DtpuimwozKAtGaKPCyseDiiiBDjr1tLvTFJNbC3FjXgnmYmLKKhHIGNMORpTvc1Ox6+Abx4G9JR
Jt+RCaOP6VWg2J6w2wuyctBESJ81A8r1fJUiakReohYl+aJpdez+kGIruBIBupIzV4YGHHUe2iDk
MMxjZ/CFzkEywLW974Ic4AP2HMs5lPbMfKWYBqTEHd741ZfBB52Fp5lrPxq/u6JzK/6ipTX9R5IB
0EG4m+zmTC2lb/KptwFszFPza/EtcePQo6GVj0B+KwunGfZqCXFWF3yw8oY24ZpvPdmErLqSHfvO
XrBM7NYqs6p9Uw7qjbMBY9mEAbcYISyxl2bLCsKvzU0PLIYKcNpXaqXsjqXS5qotJ9nWm0g0bN3c
ucq8lhe/Lv5SfvY1VfqnZ1Pv7SGR2sOlagHcRED+YOSPLSpi5Oar9nc1YyMnNAZaJ1Gaud7rlDYa
vUE59PbzNiNCjh7UfCz+Ws3QGYtu2maEXccIGlnrMYfe8X9VePwuZunE59VYlET2yJmA1YfuQzRA
F7xmjrDsg4Rdwme7SsbiYbLUkF6yrvEJ8hHi53M0hF5brXNiUSbpDxVjXwGKumHJ+dNa1x8ZLR3g
d9rYe534vUtLR7n4A3tAyrdxC0cnYnp7Vx6nwKOjRR5NmCjuLe85Axf80fswkUG4hNN9EZo42Xiy
Y4WNM77fvZdiVdiXxlu8aJGNvoO2i35vwWeBHzuLN7+T3Y8eDDmOGocy9KD8UfzKmWZU3rHb6jvC
TIzu7mJhDzvLxAKjdElAkR+Q5PQ/oXSf1dTnL+BP0KNA5pnXxm0Z0EkcaPwJoavV0ciAxl/G1SLe
gp1AyIB4ph760k+pDlhtYdm1bv4Z8glC/3XGHNXJnfybiQKYjFI6BD8rELYjvCnYOVHJUTCIoDCx
CNSlmCYS94Y8XYjsel5byg2OXjOVAWwe/8PvsHh3uTHxxiljdg8tTXCL+5yAC06k8A1PeXp0TAaN
x1QTUeTcA8i943lgCQFY3mPYmVVwldlS3Ba2bIv6XlSN81PjCWhOIcDICkZ5Jz6Y7GHJzZLUksho
7ff5QeBWv3PVXPWH0InXcVMatM3dwiQdccB1t9z5ah6IrcyJPW+rwmu+l0mSvccYGV9dP5wBvc2G
j+mDaYaiOsB+GrrIr0QiMNsMw2PGvIj4mJuiyE54HaipMdn1J+VqG4gU9vG3uc7UmwKtT/0yjjO2
l2qEMm2v4/esklTra9/h3itdjpwYIr2XVbkBzUywXMQQPUatoMH0RXpvWbb3aoUlWWCrcMvrNE96
3AMEAx+vRGV8/MS0nK5lAPOd9bPXryyKTUPSDrWzG7u9P9be+5A0PvFyZ5Uv/oqhkIkJidjl6NQ4
NWBrOGjPLqdTvqHUgzdK0GKLHTkgdNmQD4wEgmi2s5eANpM7gryNkoqldZvSA9tN8JkGVhuU+s0Y
YPq+wwfSwytDBIJsLQhBONmGa4XtTgxTUb4kkEZiMNcz4iPeyXDcwdsldxD7xYwcF6ulOrIhZ8mW
dohbHqXETbdrnFH+gP1rsmMjUszYadDLG2j2Y7EdcPCzurvMg+Bls+RX2yT+S8zZVu1kZa8lFiXi
bVsZ4OXY4tqhTCXBqG9mxqV8qfBD/Bi0sWqkP+W+Vt0yQskge017Imnsr7Dnyyc1moWfj8vrNgRF
YZijfCnK5dwK/zpEhyb8Z83auuB406kCpjg29NxBYDNXI1DzazUO89d2xexuqbzAgtyt48VkMz1m
6YoMFi7+7tcSH55zmZlBQC6MGuuKFSBmdWAmk3mwR4cXZMJS97I0UjOuUHOX8AwRXwbSOOGngi1O
BMPHyWntMRjBleoZgvgMfi5xvnl+R898YvTXXcoq/tO1E2fZ+zlw6luLdAm94iVUOcsrhHeagZVU
D26ZEj8YCHC0u9VJiVXm6SKXbYIF88SOMpQASTXO6c5yvaeh8gZ2spLNqSFDOkSZ01oF9aRvzv6Y
heE2r9OAIgVCjNwFcz9+W4NFfrHTpXa2HaosM7rGVvFaJwy023KnF7rHNaEaie2ouiyekIImSxj3
7+lEfPuGemU5k192+r2R9PQTlgQi9sj38MCJ8+oHvJ8cUZFu09eRWaE4vodE5lvkIEVjPqbnseVI
VXy14H20G5CVS7Bv0Hi/1mnnz8BnrPn8r5aDCachVKag9NhlhAbUMZoWiPm/2jScprYumUSjZCVu
DHNEfkg7zekCVwLtZIzJJoDmbuXPpCd0SgwN+xqcgil5ajwUHaa65LT76gpGA20Y0WN0GeACfqM1
PqiH1qT1cIuU7VDDa5PEL/Ywi3XrZKt7ImuUVSRt2rSO/hVOUi41td0Wb01+QVcI4Ybzqhf7f9kN
HYuGBuE2DWL/A62uf61lnl0LKGxYgmTy27/WlTCjGCXpX79zYspagVnRwt1KL6Sp/P2/CE/2oQji
cqd9J5UbweZ5FgVDeI45Hublb8ZC/ck8I+c6V41/JRCAKq4zh/7LZCxbJMBdZNNv8CQtkKY8TC77
eepneZyHpLxZ8dh9W+JiOSkaB9v//I//8X/+18/5fya/9MP/Hwn6H/VQPeiMztf//s8/GzHkon1T
zLuuCO3fZh1O1DQBax1HH9IdWJdA0tLOCy9/fZU/G5sEKs/F1IjDJFS/jQBM8sUwMojTk+UgrkJh
/LSG3txxzpjPf32l6wytPww+ZZ3Ade4KydnH44b+8WZOeZpomFqMlDVWdpnWwTmwmU4b12IuhFfJ
78afAJwzYOPSecPPv7749Wf8dvHrM7QDl1GvPqr0Hy/epmNSkMNndkRt8lMjMuZVgurYd0lPQtAd
Uxg8Rbn764v+271F9UP543ICQ50T/vYE16WZ+tTD9bZ2Q/NFSMDYddNa9+Dws386U5EfFnquVBK+
D/PLfnuMiGVzz3wDAmZN0+3rIKy3RFX77RwzVemf/irXpqdie4ELmdAXvw35cmNnbGDgA5sM/GcT
5uXtLNtPtxqru39+Ic6SLlPobW6j+G0oW2n7HsYmaAFwcrtopiNw77Cq7tHASWf+9bX+bQAcP8ZV
DIEMmbOniOr+8f0gYcvAlSp0NwG0UVjSixMVUiNY4BKOGIgx/tOP+3q98Pq4WFccsnJ/vF7e9Amg
M65ncOMfYD5aO3dYq8d//KuY6+mEiBSC1ob726Oq2mRlN1cUnIwj28Q6D/cERiHj9gL4iZz8v5mL
+O8vPGjtgGxv6AQoQr9/4rZFDrYSePBKMXQbx/MRc1vwRO6k1i//+KeRrnQ83veAe+j+9sDGa2ug
yhg3sdal/5o3A4JD0LifPYDCA37V9J+uk4HL5HO8fLQH+MCc60//L1uBxTwANkhcdBYw3uOaaCpy
LFQbdu+/m8f4J3eR14IRdiCaXNIxvz01GAf9NbgAcAYO6JGBLnwBdGc2ZNeGvxkw+eeXgkR7/U/I
m//HX+XEJFPIEF2/ZbeNLCcTpxgDobFy928WqD/5wCRrBmshVltW/9+eV+NgMpxTforBx0BClwP2
lMz5IfUmiGtrm//zVYrrhcL1fS/kVv629jLrYyrHkFexZgryYZ5ksnWZGXbou/zzr9/EP72HTihB
jSgRsGH/8R4S8md2TkAwvDDI8uuQxDujGVCfz4n57/woSZxScAt9T/52qYSS3rWzmVVqcuDkQQo4
eTGxC8APwd9Mjfz33Zr5zmA90dUwKDLT9o+/Cis5ppsYpDAsnBoz8wQ1Z59QjyPIMy70czIGu17v
WKggK77k8xJKDrz/jVv7fzk7j125cSUMP5EAZUrbbnU4yXOcxmEjjH09yjnr6e9Hr9xqQcKZWQ1s
wGxSZLFY9QdHdVxTcxzDWRq0Fzze83pE50H3lQoPJNjmFCvrq+oM8U5A/v1v3WYI8JdVTCxsle6v
ri3SEzXI2oKGmHHM5zz8qtR0cA7tiLVRCcrsLzVMk9eors0nmmPNM2Z46l9cufOJVrvzABRH/JqS
sv8FLDt3eN+DzaK7n1zjSKO4q0B/2bmw5Mnc+rmL76MowFQT2zGOCf2KIA/pwPoj1gcYXZyQa1eP
2dRGaA0jFLL9TX7nnVsj67c7A2UUKC4DIzeINwJ4QFkuc/6yKZwdK83un1wJCaBI8K9fG/WzGmXh
ter8nV+xdugI/nwvWwYuR/79H+EY8pAZG6B7YPqhLelHaIw3wP0fEAmvdoaSh+puvggocMKBAdv2
4tBRcok7qHvm0W+/W2A0LzRlctq66MiWiAhtr+7aYIY0FgXpAf1BX+Q8bpm0ptS/pe2YB9qx0Mzy
WRFxfbGGMaUWb8I625mftraWDpUCMhLdFvrSzdiFY00WgQcnAi4N2r54EYDA9ssHQbr+MOH2BRhF
t8/IBQ6vJTcFHS48AU6URuLPiu7aTxOo78qDP6OeK4rll+01kVfD4gNAKtaQT3Go9XGF3H7rXC5/
gYQWqDiIlU4F3t6k9XbaHmVlFbiWXBJaLihdVRfb2p9Huq/IHhybSUVS10QgRVj6Ae79dN4eaSW0
Er41LnadFTfsxd5NB6MHbUfuR3eofpjD3H8o6e4cKaPIFoSdX/pGC9GCdJVnnEPqtwdVEmpinU3N
m6i62GLZCPMzGkLr6CqF8r61VbgV6lQWz1Cu06/bU13ZzhYWxyYvBTaWtnxAg5CEA1wxFkBh6QJg
4FNLnQ409VxBLMP6bGdtV76izc3IJ8Sg26Kbd7tXMNFBzNOipA9orXmshgTtv7J1nmvdcXeGkv/U
YlsylKvppDW8nJcWzrj0NBgD+VzGqaAFlDZRh0RpFCICjqnaaTBV/QVnLGUnQqzO0NEd2wJzY1ma
PC1/RD5AnHWMOhOKaJAuztQ5QZGUaKLD6iiub/56dCbQI+cMOwK50duhbAUteeilJLmzr340qzKm
bwDu+AqrMnHB4fWVvhOMVmfn2rwqufM14SxmZxmtRgxkw6hB0FYnBVGxF5RNrNiLoJa//bnCKvIJ
bcfWDTLg2/m1PJxQg2MpUVaxQRqR5wj8uk91CbxzeynX5kXkclzdxA5WGIt5JchoF+CPrSOEMwuD
IdSHlRSP2g7w4c4GWbug5Qng8UBJB67nYlpw9VW765gWJk8iOJZO0VvABERxRVhfQcM4RHI4Hdx8
4J02Db/quuof8PKpH+dOIzl/+8xt7jKa5wRVy1qEmybFFUoM6GRiuiuuHQyo8+g2n7sBUux/GMl1
0cMC38NtIYPRHyeD1xsGpfwCskUdQwHoYUgd6eBeccTbWeO1sy/k+wxXNfq+zuKyaMYaiFYDnKIE
7vuAHiNdNtyrvJoeziPC0coD1ETnPxxH3hfwb4nc1CiM2/kFAp3HCeFsEMVpANMWGEYW2tq3ycyu
5ez6Oy/e1TnSPhImKRZ6losPV8BxcPQJ3SY/Krr3IjLjIx488xVFjeQZliCWE2gVvv2ZSOw2JLRK
I62zF3OckaADX4d0ewpWVTtJ0ig4wVbo71zG/mFFYfRte9esTdMRDnuTHWoT7W5XFSU00x/R8Tja
k9V8HmeExusCOGuMI+nfQ+ikz92gTP/bHnQtHFBXRlHU5TlnWotwoNa5qMwBpQSoMKNXTMp0tFMF
ggDd4subh6LuSU2GqqAsAi1WFJdtyTSjdwD9V/NCqpXPlJWTc1r5/c6NuDIryuTQnFTBm5Ec53Yp
O+hLkLIalGJdVT0nICvphaQ28tfOv9uTkv/S4u6F5semJH+iGqMuPtqo+n6TlFpzNICVvKsxrR7h
euZ4dG6PI/f43TgGj2CocipTWoRSR1R5EiNtC96ldq+cleJij42N77iB4NRsi89GD2ah5DrEBEEk
P7aHlxFrObxQbYAlNMpsikK3C+rUeWcFwuDEq9bwUfjq/AFUN5KlTp+fqylXdiquK2dB4HVKhZwa
l+EsI2gHNlGECS1FZw5gHmWF+FWoTXCMaO8jYCLtKYFAfnjzJInZyL8YhqGqPCRuJ4n0MaL9YLWP
vYs4XYFKxF823ekzepBomvCi3Pmmv1dtsapciuxPx7A4g2IRvN10mGiTNgirdUnywwoz8VOG+B+q
gNIJd6pGn10LxxAK0wzpAzRX8CmjAml72xO/X21L2C4ZhUGWhbP44rhA5kC+KaJQqtqK/h7TxPRf
WhI4oEJAeEIqwRKHCYKNedge9n5TWYJjyvyhhSDaIE/xH9ekjb5w5GCqhH8hjmNJLqVMsJl8gM/y
i00Y7cxydTjNkT0mV3O5NG+HQ7JQg7oEyElqAH4Cx2M+1Cm8+FEZIWWHBTJzb56fXFF8viDBa8zx
dkDHlqrExdBA/1FoS8ZG1n6cO9N+iC1/wECzaHdmuPIdMXRjTME9Qtq6uCiNqo8yXJagfrpZc42M
EvV6rB08xfeTaxgq/sOsKPpf27OUked2E1PTJ57zxOEVx/PqdpYUaAvaSBxVPD1AN9UjJoMJGY/Q
yvJ/dlhV/4vbBv8ASEY75+c+ysuRbTID3uM28KvbkU2Uhaa6srgw0S890XoWD7Xh6M/o/BQ7LcOV
vUMFVzOoylHKJQjeDqX4elyGpgnEoUSzsR6n+QS3GrDzXH4sfJy8t9d0dWZ8QepKoOtMa3GrJJkI
lTkCegLFOT8XZJDA/H3ljHROurOIa59Po8Dj2i5tJ1UsNmmsj3A8MqkfM0MA7GslOJno7qDwbfxN
41e/IGgkbRJGZSerk0Hldt+QXzGk45JGsqKLzZoME85EWd1CAaG+pOBSdI4ofOwcifsPx/uD8jH7
klBzdwZ7DU0SiN/tsWliJHUgBXiI0JRnlDpRHMIZZmc5NbkTltMS8nFG50knO14ch1otEUlujZam
U2W+i1NekGGcY2pmGlWEa4tfX9SygSxgq9m1qjKkSiO3PbV9YCDrMVQvKqJqn7e30/03ttHv0ynl
0XnmBllsJ5DXARQ8vnGTpahD9ATZr0HSjhd0guwvbQsT8xqPsAs9cNyALLdHX/kELu9Msj7+g7ex
CPOusEd4uRWN/Wb+HiB/TOMFk+kJShMh8Lw92H2eRBTSaNNybixDX7afpSkugoi4U6hAu68YciGy
I+bh6mdY5lJYEw9FkCEm2bVtfLKAIry9Hiw4RIzPr7ARZF+cp5QSqYrAU3d0kvh/PIiaFxzafYRk
E/P99lTvDxAjkZBBIeXuZr63MamrsOZLLPA2+pjDOK7C9hLR7tzZ0CujkIHxwJSpAT2JxderFBcZ
bdVnQWcX2i/mP4+KjlTq9lzuA56QJUg5G+gtbJfbuRRo1qIkPSLPKuW8ptDoH2wt/moM83z5DyPZ
ZHgGLzuqZotMtke0DPbKgLErYGT8TAPxmCE+jN6HkT5sD7WyF6md8wjRUKmms778QKGDLY0ttWPw
fWxgSXTW2Rz14UXTqdcfMqNJPmUTvL1G9NWXZrDfXklGfQ7IkA5AwabTuTj3CPRS38mAUWFemD/T
Dp9PxYAuZaKO5ml7rmsf8Ddowf39+ZYNQTRg+k50+oAcTwVNKoFMBvc9fkXtcK8zIZftNsLijsuM
JJBFRVB6sSMdH5MqbYJtWRmz8RG9u/JLqdj6F10B33voW8f1siIv3nxdMSrINR6UGrWz5cdErmcc
08DsjyNQyieMlUpPG1zrP5wDDO6oA0o8AY3c23MwTBhDqyYS7TAO0QWdDbRajbk+4uX39iIVU+E9
SfygsUpF8HYoTYexDMga2JPAskQg0nrCCc86BAZyLG/fHLKWIkEEdMCtxZnT6wZToN7oj5XfTJfZ
RRk7pFF8Tvvxx/ZIa9GKRhzXjIRX0Zy+nZTdGpk7p7htVHXZPbQ1L+TcAem/PcraZudCNSy4tahi
WotoVRo+pb8Y7mXlYBuCKj9S0LVVXee26Hcuz7uhmARZNS9hTL5AmCyypBmdpcbu8HZVrV5csEeZ
rtXQUWOAhXTantXduZJDsXI2RVIyXXNxcykYecMrQu4oybPgCvw5QIKoDV/xZGu+ub0JJTXGsaPY
meHKsDZZLvZCdBG4ZpZRklY2+6DEC5MrgKy6/YptonZJs0T/heSqUyACZVVvPWc8GP4cdLH5LaRw
siAcZ7TsCshpOgY7qHK05yka+uv2sq58QTp5LjM0gNCod1CkiCeQjmbCsUR48xHEMsqcAj83AODm
zjm7y/PkrIBO0q5lLQFM3O5+H3BJZIyJNOZMR6zZkHY1DQR4gC8ol7LX7e/kYcnHUTQ7x+7uplsM
vNg6aLoAqzfD+di22nDmHYh6UWRB1dTmuHxEbT30UPKCgY/58DON5WznQK7uIS4DDj4dFCrTtxNH
ZG9uaxerEzXEhOoQqchaekGY5s8+EgExFI0KZZAJiYudK359YMNCd4ouGhnn7cC10JBgxWmLLl/S
/43qR/WPjg3RBSqM8CpVzJcEE8i3H1TZI6cayPUHEGyx2kOpuFruF3K2gPiPlKya7Llr83z4Ofe5
8tqHTaxQwS3qn9tb+S66AiviFUz1lgKKAbzudrZ2MZvVhALOEfkFZYZN0oGKx7FYfHr7OCSdBumm
C5h02XvjutArp4Y/bVOGko46U+0/hSG8lZ3PtzYhQiuVC44cBoyLCUXtLMzUT1SpiYx5a4H/wtz0
e/3ZlQgg/hxlcSzDBI12hD/UI3Ig7UXYPiruoStViMSbSyJ8IZJ1eiSQM2nQLK4LdKSqrA91QDd2
oX8LlUl7r3eCbhd4Im/7I61sfUFSi2u9LXvPSxwdRjmOm6e+ekTxDbU9NCtRBR+mh7pXnWuAs+6h
R5x954OtRDjyFdumfaAhvmkvMglVhELBZEtDYi6rf1J5+QdFxPndQEx4goKfe9YsveVcgaj89nTX
PqItK1xUE6j3L7cKZndBmyXski6zpwu0dIwYY1h+Olo7O5fT2q4kawf2RmXEvgPLuvR66sBCIoQC
eHEp1KLyBEWFnZgpo8RNGs1WoVgIhE/AXnSWnUNhIvlZzbi4Aa+eUI8U1YP0uz1X0u5yqCZ9p6G2
toCyIiLBnYLX8SJGuyOWcdh86cfayrNTEXbTGeev6QKvca8OujqUIICopOsWz8nbOKVWMKFoNunH
ClLiiWiJMCEGZehOij2I7OoqcvtRV6Q0SKvidqgkAq2fiVQ/NnhiPkBiMB9K3FMeR5iLfw2WEVy2
t+HaqeOTERl1MjXaW7fj4ZwQt63N1Ayj/pVAV7xGLay5BIdcr8UwAvPqudgZc22OPHl+l82pqSwh
AyWA9yAfCfuT26rHWauS2JuqIcvh0OPDiAh1/rw9y/vOCJvT5WoDPUNwgS97O02rsDEEmFwCc+x2
0SGNfktej652TpBPRrgO1TDinHOOQgs1OviG2tkvVGhm2z9kLd4wb57wwL5o0iziaSI0fKLCCPxb
7OivCoYsKhgNe7hQTht+5kVrQV1Clr5vamMPDnc/NuefAIuRH+V8akm3a1AqgT32k49dVxFXXmea
Y4JO3kF3z3CTGq8yw+HUZo1y2p7yffRhWEtjL5sSk7V86ELYp64lL3a81c2TmGL/JUH77ro9yv0R
lQOA9uYlzU2hLieXOPOEkdwIlta3CDwBZlrIvZzHsvry5pGESRSQb2pytGUygS86RbpR6LATDf3k
JnN4GRy3umjzYO9M6v5w0kiXwF3HBoxxBzIL7MhS8iYCmu8iq27kBerhqoIsVe74ZwCxClIDzR5Q
6f500ncGFMp7l8cobZDbbdIJyNydBYgP7mZ0NSu8bWts5q5jC/O2icARv3U9ZTmJ5zzvRHpNy/XM
+yRp8J9CJiucO7i+Y01kKHh4PGfga3Y24/0ZuB1MbqM/WoRl54fDIBFEom4RonYatCKCzvDU2Rqw
6oW3LwpCfIar9069ZyUE6cC+EFMAey4TnUWkLVSrtQJ6n3TcY/GCjWF/VELza65YuBWVyJ4iTIp9
7IiEaVXjeGxler8TBu8/rc2FCaFKsksIAHK//TH7InKdsFW1yZtqxX1Uhim4TKnwr0lWzSgMTXsp
3f2hZDz60NBYGJAKzO14KRKOSAC5E046uvtCxXnEDC00vMDs9ooN9x9WqAQZXdNtnsUQMW6HQk1m
nNHKGDyrrHtUDfum/Ry5aLZrXZt0UIZH6zvGK/VTgBv7zqa6X1bG5qOCbDaprCwpVumkoac6FoPn
YBX+MsCgueYUZNG90ptLqGrdTqZ8v6wyb6QRTPrjgGE0bueKY86o2JEYMESsCN5uPB6Q08DoVK2/
bp/N3y3P26ROSIArVyetNdnzuh0qDWuXin0weVjHItM4ZOCJDrWJVSpQP6P7u0cz69VGaecvULkT
Wv8xzZGDFIjGowCD3cOQZvZO7/T+QhE6AVglaZZX2RIFiHhUpwIjRkXFVzEdRM4nPBpDPv27PXd5
FS+mDo/LkokKJYC7OAhPHNctzURdIWhQEILqrh4B/VTRRcN3FGyaAcABppTjIdfZGodsQjdv+yes
fGiKLnJ0inWIQchN/8d5NV0f7djEYVNbavJMitBe1dpSHwHMGzsPodWh6KdBwSHmg/y9HaqJDbKQ
Rhs8fVZavNDyUDOPYdOg+CyModt5/KwEQ4rFPLgMkHDyvbeYWdjzJVQkS1BCGpT82OkafGk0dR4N
KKvHvtXgrRtTdIEl7Lxr5jp4DWZtj++59oWhsdIhcoBxwwhazhkNQV0rRvyFNO150g18YiIqd3k2
o1eIGyxKl7ripSn8frKY7tP2110dnnNF8LDYz8sHr5k2fpgQODxNSyw0KDUaykkPLdqJrRG9RPDx
gKw7VB5KbGIV8Wa8tcM3oLEsSUHydbj4Bq0NtKMb69EL+qz8UeJYeDH8zjoMXdXtHNmVCMnFw16G
E0pVZElqCbTOafV5GJFJSZDSwEH5OoyAvJG6iVC90dvL9tKu7WaAR3Ru6WRqJE+3XzbGFDMxBdur
6t3xk80AHgzH9ikuoz0kx1o0ksURmS6B9Vru5LZTMY6MwDomRqkXD2HuILeEERrGA9tzkqF2EY+o
UXBvw3mFYbukvIp06sug4IYrKsN5whzVOvkFMkRF184fWwvRa+S23NP2oCsLycUt6zESWaH/Rif8
EYHQORVDkCCoZwflgIkYXkFeaUiToLpB/GsnLPxGxC3nSI8duBEsEsk/uP1uE8DjLFcnLJtBHw8a
eue5i+HfnKviPFe9Np8GP2oLdJez6QeiDBba8sitIvhbSTmagQrpcGjVGDnQBFeLd+Cz2+lCT1QL
zkOHlPyM1sb3ThUYzCLdxjfCNsae3ytaoPgHqw5654RS+9g+xnpUvDDxIEWZWX8zZ5S9YpDvkB65
MB30RdkpD4s6FVaHKB+qmB/VYngMBuQW8dASj6mJlcKbvyJ0OF6bgGQtCibyK//xFRH265s0TU2e
uJ371WlF8FwgUPDN0Pt5J81d2TAw6B0Yo4AJoI8shmqGCp2lsDO9ysicj8jEZE+tauVXe0TocHtW
KwdCNrKoytgkJ3fZbNeE8Mk6hqIRPj6RXDue1s7hY5zSoIN3qT/rmB/tzG8lkpFc0udkJWmhmYsv
Z8x6LXwkybwst/P3kYgesLEgCasHkPFtu4cxXJvjn8MtDkSeyic1dQ1vxu/KvbZOgOCaOmOWeHAb
rqqeDilONGapnrYXd+07IpGJZgCvT0qkixwzQjoVuUGKvMM0qt8SqjVfKzWoPqdJNr9uDyXvmcWh
p8PCC8EEVgWqZzHHRkP1JKBF51XTrJ4oImLm3Rn/YrKDideo6McCA5h/q4YGxfbAK4vLwALoJh9T
g5RzeyysGB2t3m80L2kFOjyDrnwCNfVv0an9u7EFV2lPWr6zriv7x6XwQ8WXvjsxbjHZwSmRThaM
2fu1w0WBQMlLBggwPjQ6Lk355Ijz9ixXviQ0cVUCRui2UKC9nWWDLJjbzQiYDmghfdPUtnk3mTEW
vrTydt6XawsqSdx8TYI4Za7boZQUeliG5AOyo62KOmhbD077XrS5oA/S6vpRrx3ndShhC719jlAb
DQMNJjIpS676HwEuqij9GCSRXu37WAi1qKR+qlKlRl7NzeqdZGZtQdmsFBRltkwkuB2sFnqbRDTX
vTz3nS9GMRUYS0SYRthONO3kiGtnw5LXIQh9wCJLxE2CfV+LBYzmCdevG3zgtP6pTx0LtS4eopRj
ZCSg6aWfUAXodkDzKwmqC+CHXIPqMKMvEkRi6xxXtYm1gVUq/cMk0uAqfLTmj9UUgBNrU938kPmG
/Snrre7fvKE+tf1d16ZPpVKi6OlM8kNulxpfUGENTWV4dpIh0542VjxezCK1/kmTWn2wMB0/hSD/
vGbikbYz+Nr0qdeAdpKM0jv8gqGP3VjYg4FYWJinp0kYQYXYpV59TFygtGbhJ08YBtgez9X+BBV+
D++1ttF43qLAIFWFuExvZ5/Qda8VVIdAdBo5QriteohK17wqyHP8hyABQ1ii58kP7hL0UEviUKBX
7mVDiJ5j6HSXDI/Xh6zE6WT7m65FQIYA9MQDnsxycXz0INeQOYsND796IzgOlE9+5QOQ5APeLsNT
j13z24dEaoHzQ40RXDLaNLcLGVhFiVZYPROXhv61gzN5wrcT8xr+dPyn9NEt257jfSB00LVCXULq
JEmJn9sBERivbYQCZy/V9PgreA1UrnxFOyQqdk4ZfokHZJjHnej7++64vUghGxt0caTYA6WRxWkZ
dRUP6KSfUAAN1MIb+1F7GkzL/2eAVf4x9afwuQ0aFLGnMrevbRYPLwmOx5epd9X/bS/A/dYlCyRt
oKcP3e2ur9qjcopIhELlDzOATyo04h85eMGXMq/yL9tD3R9TskAJZuJK5VW0TB90g95wXMez16G2
fRoz3T2F+NWeyqyxPrl+l53UIaoP3K7i2mSjf9oe/n47yySUCEGHlVxpCTsPYErblMNQxUBEMUe1
IUEiLwbVQHKm19Vz37v1zode2V2aIZETlMFAoTuL286BJd1jWDh5mqRl9Kldn4xOcU/YtMw/8ECq
Loku3m9P8z4So+BMld7hliXTXJaOMSnTxq5CorBuouhzmumvje8UH4iEylUbQjRHefx7DsnwTrhY
20kEP7DCoLB5gy4mG2SYdrphomK9iv5RO+rBk5KC7U/aJNi52O+x9o5D5gK0Ar8fdtKysNq0XZ0O
FgYXBqBQALVDjMJ8gpGgU/vFOzbPcEixmPVifRgfhBZMHyLyrk/IreKF2qbJi16J4Lq98Gsfm6Yl
1XpgWGQAi0ONu1iMmQGhJJohG2AK6gBGx7gpOPrYW2CuhNDwQ+5a6L5tD7z2xUmlqNbAlwNBrd/G
sLjAzCseh9lrynJ4xjBI/xu31vTBaYzsf9NYq+cCwYOzlpjDzv5eO1KELxDiOu9jSty3I2sF+lh+
hW4y9f723dhoBXPVlC/oYrWPdRj4OxFkbYtxiDlTFlhcOl+342UAdQcRYU8JfbQ7j6hSH0n9MIoY
nWLnYpBfaxGiiVWsJh134tWyoltkGPFKh0wkcsf2PQ0KE8H5dvj85k9HvUa+qahLkQ8vzkyFCODk
NPGEe2c2Vkf8CsVDlSOYoylJeUZykypSE7W4i8LyUHb2zcqGJVOD/UuOzNNqiQOmnFv1DdUqbw7m
EvesqnqwykF/12FN9kS5vDuM2li8PQqTTnC3S7ASe2fxCS1a/lYU5VJBtcHT1TSx3MAX+qz21mcn
ifTL9gL/xgssvyNoXfIXZA8sbt3bLWOgZqsnmDt6NEqTI+LPyQmryuk8D5b9vjS64ruG8rM34Zly
GlVcEU91rdoXPDSTT1FXoluPoqR5dCseRTs/bWU3024n2lLFx419WZAklaOP2bSTZxdCf01cZX4Q
fVd9BPqW/whwhTupE3KqyVCHX0tejT9jLH9URCPN4ozjZXSa8Q94bolFVzWJh53dsVL5p3hC30q+
gk2q/4t4BiG8nIXRj95gFQ3SOuUwpF6EzM63RjUUcRYKPqmPNioZPwew/8GxCHL1GW1mlAh2Vmol
znACNZXGHU1ZQES3HzGLKQ6HBfV/q8elEne9JDh3KDw/yU77fELNxXicsFu72ngkI3ju5j+7aSqj
U4FWmVcJJX8BF2teIlFmz0k9YMLXJYq1s7VX8huiIIkUmpSyWSD//s+3bV8J+F7q6MV+MVKin83o
SZ+K7Im70v2OtDvyugVq7yxlPpUHtZ38v7cXauVES/IAzQLQ9gYR+fYXWIj14RipcrgiC2u/ALvs
R3wN+s926tC86VuEt0+49TlvvwdgXDGkpC0CXFncA3Fb6T0de7z6lK7EbrTGJvpXWBsKFGod+ANG
7yLTH948WfrjmgndChSbsXz0Wr6GOVY0qB6OQ3X5PVCm8BrT9awuDl4B0SFocIt6xOlmenNlkWoi
YZvKCUGM43a7yoAQTWyRcipDdVJW+OC4OLUYSZXCYvaV+YpjvVHsBQsZFxdxDJSZVHKlR0/as7jk
oX/qUKYT9OsLG9U7zR8SLAa78sntpx8GGKRzrHavo5v0lxGdlSMN4O7j9oLfxyvKExDsuOdBnSCH
dztv04jnIaRS64E0079QLLJg01kIODU5Wt7bY61EH3AtKmmsRGHQ3F0c+dDlvaPOHJZZH5riKSNA
5Z6RhuKb2dVN/ZLN0+ScXbOeTHzhITkeGx8NbjxrsmKPzn2fCwAGEb8JXeS36GLeTnyIDKRNIGNg
zU5YOTSVFl5mLHN2Tu99lLsdRv79H/GjHUq4JY7RecDbnABnUqd7akqcDfD0aP5x4948by/y2oAc
WCpH4AZoiC32VBvbnTVmSY8XHZRJp8AxCCtTSFQ4IB584DY7GfLaOoKYl5+TggJqdrcTxGRTA5DQ
9J7R18FLMTf5J90a9678+zBMqQK1DAPpJrJEbbGMYObcIc+6HiuBqjlDxkzsg4sFzSudqvp1tlz/
tUoU46Uog8yze9V83V7VlWPC2GQ3JKiWxJvczpLSRmgOMeOHWZN7eG/hNN42zcs0T9Vpe6j7zJ+q
lwHkg0BE5rRkPyBm3ekzJBoPW6cEi5QyVr7EmS4eA03D2pt2PE4gue7/4mWQ7FXd7kX7ZM2N0hD6
Q/Sr7toBlYLVQKC3TDTC3OKII4j/JIYmecrV1q4QPkKx9rel4tcQr+Sjb5bd323V/czC1vjURHN6
SspwRGCwF8/0iNoP24uztg8g4wKZlfxS2Oa336EIRxNLoaynld2VVLQRGfqg2EV4mZTSMPCNdgR6
d/2AhFFsqB8Rdbd2ks+1/U4egEoqQYxn0uIX+E5u+rXLLxgsHFgPoZ8B2I2dZqf6u3aM4XgC/Ydv
Cp9+EZ4SrPV6HZc5T1HU/nNVqAlOk5iwThd3nqtzT9v4YXtpVydG4cz+zdG479pHjYmTQM5B5mL+
oo66/86weaRsj7J2kBAIQYOJoAHDZxEuoHPnRRESD/O0VU+t4gsvynrMwQrl7fgdihag4qmYoDXH
8/12r/hRSLQNBYIZvRNfimFwPTtUw5MfuOVOrrQ2K4SDqJFQimLQxaboCq1II8PtPBClKL12XXvS
Qx1j8zDcq8isbQxBXJciizoFqOUCtm3tlBbxfcLg7ElX29jD+DvH7Dm2pcvF8GagP1kBWC+JUwF8
v7wnaWzkZYcfkedDIkLrO6sv9VgFnoaN23l7b6xEPl0lyQZjwQOFJPD2gwGAMmLqab3XCgfJWX92
j0GuxIBH+uaqBy6PBMUErjkk/s6hXnlRokxEyAOLJOtPS8HqUAffRBuo80wlbD7nySQiD1NOcdAi
gHnXqnS1b8hM44Ct4qE2HcOBciqvUDOXBuuYUrGbO9zKuMGuQQkZ0dtempUNJvGrVDip6krdktul
KSanbGimDZ6J08FlrtJvJfZA6IXbOwF2JQrcDLSIO43PE34IQVPO4AZGDxURLEuM1mp2qn33rxqe
oHAbSRvAQdGRuJ1QhwH30ClsY32e1Yvb9zUvX0051SZKgo6aq+8U9AR3Bl273eBS2nQGeE9BuVvs
MJ22QGc0GJV2sR0Wx1mZMAI20Aw9OkOu/1DKTEXHQm0NL+alOWD1Ypjvc6MsP5TVhCI1kaNLyKL8
4Cnm2XnhxIxftr/02sKAopddNyKKuRTgSbAjtM0S5ZRYU+xPKaasJyPqlFOQuJRW4lF4mGnbO1F5
bVCJA6SrSv3mTpETVX38V4Xfew6b+RqHxfcUmNOpxZ70AfMw/F596J/bE5Ux8fbxQ2eCW8AivGiE
6MVO8+Nmhm2jkGm4Qf7NLvqvCQKZl6hs82el7f2HSBNIZU118ZT4ya/twVe6NWTHHEfwj9IHZUmu
LZ3BbzVb3q9QChova+riXTSJwD1MxWRdoqJNj5mvDucx0srhWqfAhYYmB+xKE32P4bQS0+UbjH4N
kFeJybw9DPhcpkGfanzzrEkfCLHjuyHQ/2lFPT3aY9Vctie/FmfR5sD6RWZ4QKAWwyU4JyoV3hPz
bLX/4vQDf7nNSutkDRW+7DiYRk8BEnHvZqt0d66Ttak61H1oadMwIku5HXs21LjAUrv1tGpyL26o
4hRtoXNycN06O9XVsNM5kXNZ7jK0gLlM5NUC8+d2vCQrQ83tGI/UdDylGZ7Hil0X58QS3c4bYW1Z
IdNS9gUGz/8s8o04n6ckw0zVi4Q+RKfGsfChoxiKfVfTXHmotL9QfcbDFJi2/mX7k64cYMljlKBe
QIr3Pi16UCRZwNhdrtjnTmmlAxn2wS8Of1odzTxuH0e7ck7bw66cYcA7ND0JHrKCsPiaoVWlHO0a
BmwQ2fk1UdUByzKFGkLkK+OHURhDdel1xfg4gWVHV6Ex914sK6sOGoQisC2bcsh4335gGzM/Z1b8
xlOcNjm7U/pRlD321rPendXSLR8Q3w+9hst75xSt7CxwERLiSpRHI2hR9PYjUbtDm7aeEkfOd7xp
zUs66SVNqnxPylBfnSQ0WVIAFIWhPd1OMldnx59VfHeGUVg/agyMH+lM6Ze6T/uHue1CLwzs8Ci0
KP+7wxLRhgwBTGNWTTyQEsfvgwP0hOGhH0fDywPgiATWHHVnkOfN16o0QjyTcvuvwZ8jA8H1uf+e
weYeWM95eOzSqDoSJiznQFEK173Yrq7hFO15a6zOEt1EWfyDxbrEZTpOiKVtM7T4USnFJ2UcHlNU
2SYopnp9oLc+KfhWjvMLNddq5/GzEpZAL/H0ITQBXV5uZB13w7AWTeu12FV9I3J+rIwiaAC/gk6w
Qv3z9rlZybKogEluh4z3d5IjXRU7IXlk69lNySsavmKnH7J8Tz9lbYsCIGJe8NhQS1tsUVE1fp+H
SuupVYfBRp5kEQZyZTM9lg7unttzWosFQGrlLYbCJ13q2z2K62tspf3My04xp8+1Y9b5+7n1oZR3
Q2O8DNSjJiyP2h5vS17XpyHBom/7J6wQZsBdIKRA5xKBcYqat79BwWuh7w0NfqVmVSPC/ijHohdR
Nv6zPefgXerAqP9GJcTMXkQ46dISvA9QDGm1n0k5Jb+0KBt+bv+oldBMjks7iMQdrOMyQIWNm1ap
gYsxUMvhOYuxr+5bqz1nQT6dorrRwwNqOnvCZSujwieW6CWX3Ip+1O1KhHri4j2pVF5fNvYXF44Z
noOVb35US92cDjRN3Kck7Iq3T5a+MZBVClgGd+7iuq2duge3ii52Hztqc0xgCz0nBQ2co4sTyglt
aaAa3FQ7x3dttlIOENgz5UGupNvZGmqkhbY/41eeW+4Xq9JHHhKmH0MLqIPyrLZ5d7bHYNwZ9nfZ
cZFdgDohh5K9VmwaF68YNdfqxNEVUPkJZ+vF0Bo86XvDTX9M1NA/xG5tJIcUmve1m8zcPmgJHQXP
H+JKB+keYjTrII3raah+o8oIbQENsxZrssNcKMGv7X24Egx+vx1l85tPs8yENCsJh9IdELqqcx0H
YjN1o+nVNlDmyLBt7Oq9gLA2IGGcNiMPa0Lr4mYGwVZSVEdZSxUlWH/S6PSpTsvoMWsRRDhuz25l
B3C4qFPILcCWX+yAbnQaJ+S693w/tr40tf25KOfsxcFR2BurvjxHVbCXAaxcGujcken9rn6z4W93
3USj0kxKUXlToWAPE6eNwE9cTdGftavhS+UO/6EMDiUZGrl8KMhSwO2IuCObc9tmNYWscEjgT8Rz
ew2dkSZuErnopc2aEr6IwByyx2GuTCU+5LWu/7O91isfFpY3Atn0uWVOvVjriO6Dn9VV5WkZAONJ
1MZBCQRxLMTQ7rw91toaI8dDExz9E1K8xSZyUwoCHOfKC+O6/xBo6fQ5UfvswNDOJZ/LcKeSt7KP
oE7iE4HiEmnAUoVWmJQ6wKDwIky16j1yfziFjmocjshbtvFfVemT4Tl9v0e+WckIpGINREMSaXTI
FrenkWqxpTe0xiLQN6cQTQhPc3gcb6/mypdDWpLyNb0FAznTRXiOVDcSblI2/6fuzHrjRrI9/1Ua
9c4a7gswfR/I3LRvlmz5hZBtmfsWZASD/PTzo6vunZZcKE89DtBwwyUrmckMRpxz/tuurmSHxNxd
zktS35M8qoZ/fiNBvgARqKm2a777QGu3TI1y5LSLWm8Y4qyC2FV1WXjPHXhFUxQcUDhk+3/8+SKi
HZFpgS/ievbu80GYNjs7xIk5bcV6qxZSbrEKNeACWuUv9v6/WJhYhGxOWX8c7e8uFVYVdv5DTwkn
p/z73DRib5WmeYkEKLhvO/tXYuC/uh5oA+3dVkUwOX/76Mu6FQLL62k3aDeY9hys5XriHkcXlFT2
gx6l96v97WdBGOAD4jOEx6ilgEjffUaEkUWtFsWQzq6xO5gDTB4OM3PwpowLZXXlbhhN59EqgrU6
sxRD3UO2DNMxUyaFpjuYqYNZV+fZX4SnA3HMTK98DVNPLIcGD0vqgVmUzd3K87gZRjjpbTa22bd8
6ifi4Iyog7+5hh/rLmyaJEpbOzuGNUDgL8rGn555ngROcJhE8MyZPr/bVWndtPQKwceE93JXckTt
tCPMuO7d9VR66iv34fHvF+rPl0SQz1hic3dDi/LeESVfYUBWbefthnIM1QWkJNo3tya7PmZGINaD
UVHmnEuoPL+qDH/aaUBPwV5oXTlBANLe7d5jScrdsmTebizxmNhnW9J9kbIA/umzuF2HjZR+AKCd
DIy3C3YMUzIUBmJocDaZl3jBSjyZjdq5XHTYfPn72/nTw8G1ULzASNzEvNF7cxV8OtpA4s++K500
PYZOH3wSwrmVRp7uu0ZyDP7j622VJhxg+kWTUe3bz2YHjSDUknvIQKkxZDz4afQ9zwtF+HbNEn6I
nBbfg7+/6E/t8cbBBdoHfYYh+9Okg6BqYREOxUXNDG90sxx3a182OyEKuVug6yQeWUM3dub8KiFm
WxJvylyujBJl06Ox4HAOfvtxOxKG5ViU/m7MB+NRZRDVTiXWGYmd9b8Mo/xRqr2/Gt8ldqaUVqzP
dzd3tGVtkgeP7CTClzUep9y9HAgon2OqjvLODBE5xqmd2bTng43NtZeXxo3VeeE9YTLNd3tosD7g
io2zQyOzbiTPVuZnVSkoeyOiw67MKrewqUhzfS5LRFOxPZnQJYN06srYNDDiS/j+ys9+Vy3Pf/8t
/jx5BvAwfeg+zM02atm7HtXNPQo2MtJ2fVaYl0gF7DmOtNd0vE1RinjWofT2tHb9hfQEXpnB4oky
NnQRTOSSOEFz+vt39PN0aXtHmxSeaRat6ntQ3RzdXDCe7LANc4t5z5dajYfCyVZjjwujDeCxrvQk
7QgzISYfvn516Xewh8yIz0vW0vTHRJDVLmITDnwb+5hyd7tVm655KJAhVEkxluVtO5g1numOvzwz
7/b6eMKtvtp3hJx8WOwAF6y6cknHIKB5OivWOSqIGfAsxD0I9b/+/Wf+eUVj3IGFOvpVLFmYRL9d
0Us9oLha2n6H+s9Pls6uT6KZ4Dus86+Qrp/3JhRIwDm0QkD5P2lWB4EuJMORZGeHQj7nyvURcPkW
wTx4+8UmzeAv9om/XGGgXPQIW6mAIcvbD0cmXdZsLNidPZXznhMejmwtqj2FEZpO1YqdMYRmnJer
t18hcJzaJU2TPOiKPwhf/+tN1vz4I3v+a9cvosDv/d1f/+umf20fJvH6Ol299P97+9X/+advf/G/
roqvohu779P7f/Xml3j9P6+/e5le3vxl307FtNzJV7HcvxI4Pf24QPbabf/y//WH/3r98Soflv71
37997WQ7ba+WFV37258/Ovv279/Auv9jwW2v/+cPr18afu+2E5PMXuqffuX1ZZz+/Zvh/w45GPYK
c/PNvIARwm//ml9//MixfqfWwq2Lje9Hpf7bv1peLf/3b679O3gg3ymSdcBqisDf/jXiL8CPHPP3
bavETp1+e0vVC3/7789++8fW+sfXwr348+//amVz2yHkH//927b4/+8GzBVYpmwIG/0fl2cSit6u
n7lr69U1yyDJxiq4ZpkUd2pMh0OoMpr3tujquGe6EhNiVFyZ0s8f/uNe/cX1fwx637wBCms4B9i+
bCOsn3wPZnbGNqfIT3inxqMxoryYpO1y1VafKdEMMVaDFiOMaSyuvcYI+lgbIsLAToUFZh3GeqE9
v39qFv85LfqxjwftzB/srFTr0ejhExxIytq32v8VtPaO4si9Y/5E/7ENkTfS8Hui2uAvHcU0Ymnf
X3RzWphM+Yex6N05XtjkPnFiyfoQacPiM6WrXZx1jraqi0XbY5r8/X18WzDwXgDZwLh/RC/Ba30/
1DaqaKzpnXWiyZdtYiA9yz/5Xe3jdoVDR4fPYAZJxcqKaN5Vudn/kuD6tsz9cTc4xKnHNl0PEO+7
ynpYlhEuhDMjIkfLso+UDMfYXWSFyNzKyy9lOHkHkFHMhFOk7TCLR6XSE/yqyTzqnmiH887r1HKw
DTyWktowy3pfz9kQHfGcKkb4L/P8K3/zd2SQ7b5BfOaxRO4DV4B54tv1r1bYhRZbJ4aT0Lti4lvb
LGl0hDGjUysil4cuKvNzM3WVcdu4S+TWsZKdzqZYdn56X9n1PO4ntzb8vWPVYUVK4lBMT3//7f7V
22S5MWNFMgU58T1lOYwKn9TDlSwHM6o0x3MoH0zRVYdemmaWmPYw4axqy84+lath59f9qvPyqLO+
T2PbXAe9h0xoUWe1QziBzTmz/QvGr7NtFW+eZCQsPjomjr0N135PL2aZ2wD4NuEsnZeJG1gFPcay
+dRFsVxmf915/ULNrCKUD8HSAFX6Ya0OrgGGfGplr2SczWV4vnap/DLCujm4va7mi8Grv5RDaXSx
rytxT8jKECa0PcrYERRsuDthzKm5X0SUuXvpl426EbOXekemYX76yIBnfgxSr/ZiUwbjSBPfhNkv
hi3v0AjWESA7dFGqK/xEKbHencPBWtvtIoM6UWTUlAmaoUzGjWmmVTybTVbGXTrgNTrPbrmfF9v8
SMSEcymYjqYoN/02BZgo7eAXbwvU4d2XAj8NqQ7TNJchFzDJuwp0wLFfhi4xj67oSFmyunk4w6lF
l7to7ob2S2k3IqUYLlp5UTfTWVvg1bIvZ0CKZQpvkXfiG2QpPZ8Ffa0TpYzDWArxJE05f1ic6BMj
H+esJj0bbL+RVr6xC4L9KIS+jKYWWk3LOC2w25vCcuUIy2Zqz0XYTEfHFCVlSmh+6FT7DYU/vLag
fqyz1b8m1JikF5PIuL1Ba5l45twk6TDvFzPYAq2nhx64+SDq5bsa/CGWfftZm2KpdjZBcBezIcYU
TNw1T7bI650diOYCvIJ3YpAq2A4TRT/LJf9WCTwYYzXwflmqQbgfzc0W0CgG7wp8eSR3cMmgnkp5
vmh9v9LCHDNme6e1x04GUsnDiOFDzETUPNW6XK9cXTMBC9O2AvQZ+mOv/fDFADpPEDLkV2lTWDtb
pP5nttLz0REufgN+dFo6Mzt5rd2e66EbY5UFVRbriSYxqT1co3Z1ZnsfB5+k3iowHhh+ReC5U3tW
W1gLWpPZHBpAaow9cAsIpnm+7zv7MUqH6sZmag21TVjxYgwArJD6jKK9XDKDxhnXj8/AODRZjVmC
S5jltJrn3gzUfh75lXxFijp8a6Ym8fS4D8k9OY61rm8B4PV+CNPmoc+nz4Ud6QMOca+OtodxHw0a
hxhdjY4XL+YP0x9RfsEHmagAvU54UvRzWn4fpzH4NriOdxu50v8odBq+Ih1vp8T0ZxX7U25cuxAd
j/14Rd1hu4088+k5TiiJGCGZ7YXpjdFZbxFbnAR8D/ttnA6ZDcLVrtR5EDdwWu/maZrPslWkZ05H
HOFxZhRyrcCsYmTVAvglUkdfzd2ZM4Y+CZB9e7SVnz8RX37M2tW5KLN03mMa655nVW6EWPPV7lGq
vD0DT6xP69Irdn1PdY/9oL6qKhOSL60VL7AJxRd7dmwW6Oyuh7Cw2wdvikqQ59rz45nKpsK7vMtf
ojZbjjI3IFNMBdnoyAY+GsDnCYd5Qco1U6XNB9AwMaz1y/kWm1ATQ03LCeNB1hiA+JUrS56kqh0P
lfYDcZaPujjKEk6KbIpPmeE5D+Ek0r2hluELG2t1ml17+AwOX98Oap6xnU9FbC0l1CS/wOyiKQg0
ZoP9MJSZHesl8Kt9HkKwMFeb3tWwK/vRKxSJICJjL/c1j2xUWelZM8jqciGv+CoT1iYxMavEzour
2mN8EuVudGqR1l84Cv/tgs7xCD3wS2+u8tGyWbEIf2x9Phe+OCi0lUnTuPV5nc63zayeJ+mqgzZD
cRYt4OoJDiU0NrY1P3drVdxFiu4mmivrLpzd/D4blXFmq7ndLf7SHkUTRCcoj+KDHjyMeJugck8U
Nbf8rXgqzbY8VYHCIa5VRnCW0RZ/qINAf1GGX36aljq1sZFhHtoAcl0vmGSdrGriD52LOhbpIr5Z
XTUWcVCW7fNULeq0GHYdc5OWU8pMrIqnOqW7dlpRP1arvnPqsrnBYnL5Eq3ZRK84fWlc7zUaSB2P
e8fIL5hN1g8AMNW1tEv1XePZQ+3rlN2l4WbREXJXfhrD1T8R48DX51QzJobESbRJyjn32IzrN1EU
8pOL1+A9upAZLNAJz6H26yRft5uguY9fcShAvNg0hMczC4t2QWs1e10uE9ocYlI5PdzlmFl5tkde
5Jws2yh0vGITP+yxvWmf7Cp0biovX2MPM7hLB7OOk2Xm1bmd9i/WlKq7dtLluTf2+jj2VXDwPaMi
dNXHPWAWSyJbMT6lbZ9e1rOwz5awXJ50qqbboR6rm3HiajP/Otsrp4irrZkWSi97/IzqYzZadUIF
Nn8sqna6rgQeKUcfbYV3SOsRAftSFcNNqGllCoF3QNx4WfZqQj5UMZFvSQmce+2PNBKzP0V7gxqK
/48Oeq1foTWqqyZs233BSO5WlqpJchWGyeiXZZwNyxPpzXjXd1Mad6P2PzEdiEhU53mOKzJzYpmm
mEyPZumgKMdehsZK3WXCrq48lef31myLsxJ/kw6Uq/a7xI1UcRZoz3waaMwu087wcRDj1MvT3C5i
Lm0f66KRe+EVwQlLReOrCNRrQfrQWVrY4TkV/6JjX/FHkLKjwWCdBcBMUZ7GhT5ADH23r8ZJHLQI
7Q+9tow1bqX7zRid6DLMG5nTa0l1U0ibUJWe2XwvH8emtY6eMv0PPSP+w6TJ6Fmrzv4cRM1hDOHH
Jvm0Wq+QCFn+i93epm4mjhSh+lnLfr3uU0teF162xMSxj2d+v1ktDj0BDm3d6wtC7pcbuvPhpKYB
7itgXcwO4FwgGMgeCZn5qNYoOkevYvQbNtFd9qkLkzCvqyAOi+qiqOm6VtbJUZRze+62jjo1WhlV
QpqcoOywX3vfnR8MNdcHd9tbQtVA2h90+AH5sQ9dBDr6cda2dWhCt3vgya4v1kFMzLtElSUhFXjs
ps4SD8bq7pfOM54mbzGvC0yznrXTBKdsSK1iz1Q6SpZUu1asKhqhAbDkg5l24mnITOeTMWt2+cAp
51fA+eDWb9cQblYDPubqqcsSnuYXW7kPTUhuds8hpIMpeiDjWXyWqs4eFN643+e1q15hKOd3RZFW
B38y/FM4pnUYpyOzuaoPlZ1Ya6HPfH/qMbPJv03+yly08rCwSE0wnQIAvRN5dTVt35ntor+MVctZ
VRV9cSohVsfkFqvYWczhoSu6kc7CpbrQ2BgcS71aCdpiJquOKrI724aoxoNVFd8wHrMvbPBNOnfm
xl97s1gfUkcRETTN6fI0q964y3sK/J2xNlgP9tHifVrn0ksaVC8PyvGGj0NXLB53JfyWo0YPdxBQ
2AHcfETTjm3hLT4zI602o6/zxanDG6Oo+OxTm+ss4cGqd1HEU3+QGieWRlXdPfxzfKQic/lG4Bk8
VN0swj54xRA829lcBLFpdfxJ+Rc+ulYaYADkRGWKEJdLOgxlp0NkNFqf53NZhk8eiRUHq5YRJyYA
Pk87CkYX1mMvGncG0YmigYJ14QdCd0N0p4p+WRxWKFSQ05ApjvN0sHv/lEKVumV1VNklHI1sPpQD
BMzdjDejdyDxjg0nA+Y8yXGKHq1cNt9sZ+pPimbvezbADaC2aKYrLdfstlmtCsBaSkxCynWR7DuR
3KZ9PqNu2bZXOSFQbQJL9hsSL2yeSkdR8mTB8MzJm1/imGaezKKMsqTU2MMepemmy84cJ84N2GD+
MTWKnlPMAYsvI1LI8OmVblJN1Dc7Tp7uuRmyQO+toE0ffRGO8DLDde2T1q7RGajVClj7hj8AHkaq
/jbNTvhYD6NxrWfBC8tuIKtZlJ3xknJs1QklZlchuQqyD5V20xfIkUiwFsdojiKtdZfU4RA+zkU1
t0eI7cFzW4mKFF3DmaajFS0RkbaU5SIxizxAgjkJwP4PVIT+Z78wsK9ugsnME7Mbq2tD5pj0L4bX
enGr7Tw8+LPo7jXFNjUJ8oZmgwtIa5gHiClxX9j5Zd0p41p1HsS+7biuk2Uu5vm8Stvw0Roc7R3X
KvKsC0MCWSWI1qPyc+vI/JJHuTXOTdOQZD8qwhmPJTQimEJcBr+vXIj6Ys7XqUyGeca+TorUfArH
KrRiqYFT2EYN1qvdMtumdh+8LgHURU+BWtvPY+y8guLCMZvgCWkWuiFD843uw1568yEYkErF7dzk
ApHPRFoP4fXBndtbxfWCScDej9AW4cZrllHcV4ijPXtorwyIN8+5IHR5l8rQ2WPL6N93qz6Hjurf
AgDb571dGi92boGyTO7KDSvrcoTJ2ftG3OVzflRwAx68VHA0ND60REu40cdell4cdv5AuIhexIWU
mfOi2byvu7pX30kqz1weI6M72bk7seXlwh3jsmnoOaWw5/5Y+ZOcNlv70ojxvViwoyiZVB20q/qW
9FKjNXZ97jW/imn8IYz/z5kHuVFEFBAQiZKI2eV75sNQ5WpUqTXGwdBHRkJOyj4qMjGxdWLyGzWl
DuN6havIEVv6L6qEFJ9Mcy0Wjmg7mpKgnrLppsOQ2d2DA2ZN7Fgw9fezZ+ccaMUkn6Wtaz8xqrm5
MJcMU6kpV/MI6KU7Nyb2e7ITZQ71+YzvqAEe70YLnZqEmkTKFJnHwzQN6VYvVF5SAFn+EoPYZhtv
bgL+Bz/SIFh3mDv776gDQ1sEnUkPDZOtzL6SedpgVZCO3esyB9kdb2VOTKe37rJcUvBzoFdx5a/W
lExeZV3V/lLeWHXhsmoLV/9CW/nTkBaMH8nRpq4JQbwwG3g74DOHcJ76gapvbIbyMUtRaMeCRNSS
FUji0uWcIRisXTwI9tNaYggb1LiqJIY70Jv9/RTvLTq0jRchqwK5beAbU+/3esist+28VBuhCW+L
3aDERRNJvc98ZzqsVfkrO4u3uNcflyOGhakh8lXA5Hef3G3hVxeF2cTp4r5Mhu6fJn8kSmfyo5e/
/2B/eSWMejYXaDgAgf32HjdZZ5RdtjTMTaI8KUh/OR8a8ilRJvwZI/WPYKYPXcP/3iNHb9Cm/5/w
JTR4/3G7f8KXHvqX4g0e9ePf/wEuub9DlWMlgaAwgGT4znjvT2zJCn/fxKkATps70B8Oz/8NLjm/
IzpzYWpEGwzMWvwfcMkOfodAjiaSvnlzuAPT+Afg0o/Y+rc7AxpY6jNoqJtF33vznjmEaZoPRYvs
R5HZ22YGmhzcXHwnkXAcjmtWjSb9+mIRB6Kg5uy0v9HKM2RLYj/JtEYMoBv+i516kdi7dZONe+YZ
odiTUhgQnULAHHWsGTT9Ds1kHt7/x73+C3wK4uF7aIVbhaYYthBQ3PYIv4MI+sUcqS7Vd+lZobrj
oqpPRuQgGJeQ8TnHAWVXHvsLyfKW4ayXaeGtx3C23dc0suvsOW1xSj36onFk0hGeU32k4Fqt3Wi3
Tb6rFmaRlnIc+SKpICUNmoXdsHAWouO9PqBPV7Un/YNV4Ij80BspdCl6+O7WCDLLOWrGNMT2atcb
j6tK6zTWaBxVbPtA8EnLMQudqjYCb1/6KNmLZmXwjs5tuAUmiMIkJ3zXQjQA5TLOzVJP8Vqmm6t0
2huPub9gM0fsNtnnU+i130mzzZ0p9u1yuC6sYngOMWeyLnBOZRZBbTAm/txGDYYJNWNblZY99aks
VrkvxsCud31n4KDKi1ymInNtEqjm5X7GwTaNHd0vz4bNIHSnRyUZcg4InQ5wsiKf4Su8on1dlcUH
QLaePRPr6WPO1MyJu1BwH4VRtWh/Jj3oz/y2QWnQazV/yKPON+4YSfbyIFLmPGQvduZ92QyWd0Xr
0iwHZxrniuI02uAewM9nkltsmRhqbNM4X5T4xm6WBg952zrUgJ7Xr6cQ62JNwIyen2kn6vqQh4ST
JL3O8vVWIkuoDiFiSuaUg5VlHORWVCTuZOUMV9UkqcaD4Jp+cHDug3VQxY4ACj7FVNr9c4eBV3RW
zal9N1MTQN4Eiz/vp3WlR1Qq14eFXEU3oY3Qw/WUo1mN03kkCy7MIooooBFzOEMZhF0uJeB6HthD
sVWJdfhJjmDKO6XctN7SNPKPeRukmPfC8nD3Xjq345mRjdjvqbJthue5aMrvHbqVLO5aN7O+dZ7Q
t8FEpZVI1UFUoQR1X6wBkPSc6mBODyndQphM4VIs+3GUBGAJnql8b4IK5Y/I2ecvWHzALiEveeJJ
qlcTy70qJY7Bw1PYvgGn4sUybfFiLn3nYsUYz/LcD0ytmo2ABVWH9n3104sOxaSZDO4cWoc2ivAI
iQb6vCGYlfFQu1PonoWGxcM2WeGqYgbAvKhcrDqHGq/1rbbNCgOaPx5F5PaKGWZZKl6i99pRf9Zd
6rkn0hhXxj14GWga9Mnp8uabCz64YoHPCU7VbWz+wWXce3kUPWF15WsXqy2a5N0a6f6Zwn2yb3D0
Rkf/x3JdEWh4n6Ql+dIbo2Jr+GPRiRkng0PYKxOK4ri27WVebWCM49fVRAxl+BLgeQHRrjAGFr3K
vE9YPXf+WYtniR1neOcmvVeOd9wTRmVFvrjPhJ9Vl14dTDe+NRtDXJe5+0UbszvFhJF+K6sanMSx
ywsM/8ReEQ1wJseOR7ntp3qXhbY6ZU37PSPCYre2tp8dfKOprsnOg07sVrRWB2bqkvFBOjlUgaY3
79syNT9qZUm2fuwsyrWECdSHAUEBZvsYqRA7kzbLus9zbUYX9VKQvbUYLUWDrKTNPDCF7NZ19ZOZ
9tHZQFLblYd3zxw3WV/eOtR0Mlkw2zlllhkG23Q6f6y19xDmGqSjw9EkS1wTw6y70J6l3EW8gh+L
LCht7s8YbCNHSTocc0hudFeTOjumdrFC6s8KO8Z6Ztj1VrDcVxAn851NN37rW013aYU934FjyA/I
rIbNtMg7XwLNKEmEJCz30+ztMk8U90ufV5p7GC43ayuHy2zuoOV4RN1G9fRYBVN5vdjLd7OcxcfQ
6jrG2F5qlICiXmucqaZLP+qqfJCryM6mQYpLPn2NN7GUzzqamWWqIj2rmHUTIyu7Y1+xdNXUO+Mu
KMr2fHV5oAuVT4QE6ZCcLwQTTkL9xpNbWgosba3ymt2szr/Lbmke2LGbLO7TyG/jsseFy8Rcl/8Q
NPnNHA1RtZ+HQRy8bMTOt3b9dWDkR1eUlENTXq4RIFKCpZv8GuY1EMaKz6OxiwaVvnTrNjJuWvuz
bETHeNEIhi+4yzD8RTK2PAzz4B9hEZPJWQNiVrtgmaYwidzS3neZ71+vdV2dmUyDjuwk8rKZq4BB
vJud2244nGpMzz+rBdwok/jFHIa89504Q3z8haMRpKIaJgZaXTmdAAfFLltzq44nzF3sc0LWvOBU
Nxu6rHALrADdKvXN6LT76ufqe2qu4iqru2w3UU09LgQFPYdmFXw2EGIUONP0XwA5W6akS5EmwkxD
uBeBsmDZjh6XwrX1ogQQji7MWg33rrukO4xrdLFDUNq/LnjEfw/JZLtlh99wQ569a6i801fLmoIH
cjTkTsyWUQMfr5jstC66J1HbdYLYLbzr7SV4aZia3pXEVDFMThtc/bP1Y2XN3sUU5ha7TZ9ehXW1
fh2JIP/IlKg62OM43cEajhgvQr5mntbtGsI4QFfAgdk/gkiM142drx9WJmxl0iMrpRwjnEmdKlT+
0TMYLN27jZNAvi8rq602hDGEFFiq5SrvUv8Z0iAPu72qKF4xW5v3BlJqkUSZrL+H0wwsVc79+BQK
n7Of7SAk/qNYV86TdO3IoJ7sQ5s3Sib25HIYg09sTbTfOsFhLkqtD5wG1Ucaf+UfJkSsF67XqmDX
m1F9BFlkZDIA5bRJN+CQf7d04XhCTeO9NmXWna85m3sMYVD7CRTEej3mQK15stpL0ezhAEt3M8+0
pvBRQYsc4xCKFUPTOujY5rLSCz/ZA2+awYlX4jNNAKJ7Spmh1jtjJMR5TxFU7TqXhwtr1baPdl3a
Gq/gyLl5mMOsYLBYL5EC3rPRz0V6Osw6zdYk71URcdz17N2WEUQKzoLdmJQliOt6r5PFrsKeXu7G
wfaNe8xUrXHXqSjI9iHnJq4pvlVbn7vCtT5LJ1j0rYyQBZPL4vZHr6AU4gwwlcn0Rw35Xqyql7c+
lVJxaaVwk3j+F3s6zzwZab6JyakuozIaPxWL299xIofqHNpop+KUqgOiKk447MOi77+Rwe7VR7PD
x//IqE52h0A7HB81Zl8npt1NdiwVvupuHgV9AtWffn+ePQZDo2NStaLg8627enBrKy7wCLn15gDy
10bePUqnii4wSI/CvU2BN6J8n034VvQdbCaFf7GkPZlhZAOVJyfNyntbas5Vt3e97xRH135TWgP3
ENPgc8sZNYQHJKLwg/to1CzJwmgORqrLC8zRnQtyFXr3aMpUVkkNLc696DCzFnvDDAF6I2MWRZxT
ZzwHfZaGsbvOw3XFGeolSnd3bpo35c6UZsQ8A1BTxVo5GpWKQSkWb3pZB6fjhYe9pnXb089QrK+U
AS+izaYHVF4cy+soqithSf81swi+XYx8SVKPagtMzjeuq7rpP0dWxvS5zGt+Hw9f30J+0c8NALIq
GbAsLWyLESanDaW38Jc4Hz0Wadt2UsWzKkCOvWbeaAqwg4ajHWS2E8vVMy6BQcNht0rPsM5pfCaf
0aYsniJVYhKWRW34aW5Etis8d4HBnBfh0+CYecObZu9JmC70Z6XKnXO7D8M+iTD9lVCGW95m7nT2
U9iX7WXUau7/4jABSgLC1y99tfV3mSndR8LgumeXyd+xAiv/7BYOxbxVd/ob0t3hLhwgavOJ89Q9
k4bvnLW2M85nZm22VeJJaX5OR5ITYixn+L28trQNGF09wb8IGYNF67Ae1Dp34WkK595hAbk5qiFw
OgK5rPS7483FhVmYGmZBEJ4BsU+X0diiahyMWsIizp3V2cnIwD6G6m8ERrWd9WOOkuNJWotkjufL
9SFQaMzxR2+ci3qDRWyHUSvcRE0sB/rFPm5r10rMbbPwLOGQveLifCTsTDxQfqsY0iDIFuPkE9AZ
DWHeQSLixldXaLC6szE3xL4PgvwsB9vxNpDH3OAeHjqSruswI+ZMmA1f8gYN5RtIZITARW6BLEe4
jftdKs+4b6JCfMabNXrIljTbw552YMsYjZF4P3Ap8wdExeP7mv7ArfoNwoIO2/ZJl68ETGLgWQ/H
QSzBsyU6R6FyN5fY2G59OFv4O/ldOCw3zDpzOADddAiroHXjaAPl6h/4nLNBdcp22/Nlg+84LKFP
0lOGjLCnJP2B+PmmvjWpPI6obD8WQZA9WobtX9gCkK0gqOREwN2J6m252RSEn9APgC42w5xfWN24
OnuKE3H0N1gSfwqBRX1AaXPUrpZnemP55DBMHzWp7kdcYaKnwXQOXeMpgGcbODTdkNG1/j/kndey
20barq8IswE04ikBkFxJWbLsE5SSkXPG1e+nl/zvEbH4EyWf7qqpscszVrMbHb7wBvt79dwszcJY
5YhCpX1wZFu1H+nqeGE0QNJ0ZQs2qWb9jtfnRzxF0XdLacABxJoIHC7V0ndlSxfEbSt8DNqTyutN
Wike6hLxO27JnHYzSvpTjbq8ZCUpBm+9bCcL2VmeltT6jLto5A1dlPpUVQltkSfxChI/r0nH9k2B
OnMADnN8mmhgAzdxj+PSK3etJfIHI1X08xhaHnivwqA3qRQ/nLQWQWJ3zWv3uV1uPrfO0+c2eiw7
6kbVdW/LMMxOdq0p960SRTmktJDIcsDWnVY8ZK9D2zd1hAvMKo45KpTeEHZ57KVOld6rEgBAR/DL
GtXzPeFFf84Wq33MB/ooDsYOr3XEcD6NRTw2wey0dPtNHvo/pnReTvEzAAF98h45HhfDKYEjm4cW
+3oX1vh1nOdycr8aQJXflZ3a8/FFSGMf3Ff/oE2YQdBIlqCJXuIncomksDWiGu5JNwNGUCfZaZII
DBvvhtddXdfDvWmZ45vOVjhEqIVx3Str2n4HGQbMA2UOEB9FL/5oe3JCA6JeecokSiTMSrozKVEH
p3ehJoqEGQkK23glJm+NSIXvkQzvDadQ7gjGgbbEqhl6ArO5iRdRNYNalDg3dxLj0oT6n0bTaA9l
WiUe7ff+aDZTSk9DUf5SZ9UGpQR+RkvT+SEOleiOdv4Ao1ypA2IU3lZaluPBkXicZonJDbS+XM4t
2nkf596mtca9YGaB1fObZ0Rr/6idMqQkD/SVcpSbvcEoqvnLjEoL0eisqz4sc/ih7WhW5M/woqlV
ODgAaIAdteVYmAf7GZMEAHN6Q+9QCV8v5uh4Yzu6n0o1bwMH5t9p6aJsPc7RZFhkKygdN3OavyMe
XI/aM1IKd5b2aybhU8MzkqoCUzVPfdb6g1iDJVHy0ygBWESeYLEcCcuax6YOuoJ+EQ9g83VAe/1N
bIJJasOxIgXDb+pJf8Z+KVQL7+iTTHcVSdLbYhyPtg0TDz36Jf9Kt6VePJ5e906Li4dMOAsNqjA+
axJ6Roc1PtsVNZSJYH3wSmtwfrT0aTsPhRPH9Ht7GYgBLKXtT7OEvdnrOHzGfmQ5V4Pe9W+WNluO
lcTLWeRbqVPOgZMV+Ztiie8GZnsalIGD7kjcnfEMwVuf4XiR7XRT0Eis3gpJ6DPoyVc1wM2gon7r
zcJOPidId79r2xSc3prpFNDU5E836+qzEg3UC4EMViEd9JRSGSLb/egulDEUom3y5OqgTFbxOA4Q
O0kny5OQ+ERwZ9h1ScxiylfqK2Bnfm+F43wANlTeUetBoabTl7shNpR3yBwxB4mOzGzxTpN4SYp+
kRfzTB1bQLpPodEvj7TYlTjQ1x5wgNsJNL9WR6PPYptD8kptXe3PcCCyQzAYoBoK39WDW40ztTnw
nXYsiOFAfGq4QxwbPU8+6cgtEFiFid+7Zno/u3GLkyD4UR0g6Uoj1yuBltoSY2p2HSeoQ9H1NazS
gzHN3afeKOPkUXHK/lNnmMp9Uzr9n84z4tUUgFvepMQR81+l6QC7HO1Bzf0+HNLBJx+yKHdNSaTh
5lwgY0fHfyqbN8laUEylgzSh0qM23Qc0bYgABZiU9bDISlBoJGpzisVI4bIREVGq21eqckjAu39c
GmOgLxTX+SGCPPSglCr/BxJ7680Czf8DL247Hq0yIZaqpioyaQJGlAdGkpHC12qwPQ99X4WxX8UE
VYfYyRCnMmdtrh+JTAAe0gjjmoFVTNLFN3UoPsVFNu6wkq5VzE0AxwSUCHxj+3rZD2oqI5zgpP+g
bbjcO8WgmucFk7kM8hUoN6MaQvhKYbu8sjOl/ny7YL8ltKCwLRXv0RrUpCjKlpThWGPXaNX6xam6
8ilxxXCKFi31V4qufqI1w7kS+fBOCTOj8NJBUY+3h3/Z8pDuYfwCXF55uF7INsS2GSuzRSV5VbU4
DhAZtCkgukmyfAvB9o0fanyMVG5+l08wA0f+mqap0R1bm+pmMLU4gXnE/E2K/HEyZ3fhoCz5w1BF
oX5CnKhQfCPrmvlNteLhIuGaQtlh878gG9AW4nfjZwAvib9sHQmV2NIoZoNQ0bUws05xG1MHh3ar
q+C/qc4FuDVrOaFSRk8HG1aaMVGuyVYNOk6fMJ4titPaKojOac9dG6VRrPzNzjq/aDpDXkSPQ6ra
scf4nZd7TAguWxtM/cGq23Q8hQJp4Ad6y/wuHu63fTwlP9ysp1eTZiuL/NxFcivM3QK9iXQriNMo
odxjt/FC+dCEjb3zC7fQe4gaiKgiiOBgMIHg4oYSQGE7roGzJvCZcnd89/PQdXqHsZpWU6N6xb2B
raqVUK/HL6tdrLto7tb8lQuMac4PoEEhDnVzRviQNyXbpZsFOyVsZm15KJJGTNGhn3rL2eHIP0vo
/Nq24wfz1U1OEeAqQ9+SwurUXHM3BvWiGyilnkWGx9RfOXD2MVAWDvaXAkB77k9KbGRPka5H+G1V
9LZfRQv6zA+oXUfmOc/rkD4WwN/8SAusi1BR7gwAoi0o0TqV3SAqAUB4oSPon0wztNqD2+ZWTRUs
zYxjQ9yMe0tBqkEs3TgnxamKij+wUP4mY0rf0fWm1po09EyAlTvKlzoGgvR26mLrg4vAf34ABFRX
O6djI5RgWg7iThwAYAw2nXwIL5cbb6UxUdg0dQDLxXP8SkkcUpuhT9bQS4iZqqA0K0M8dW1PQgWI
SV8eVteKsnsQ6/y9QdL2mup/l5zckhatV2qmUZ+5RLP0QbUWxzgW6FAoSJMaeuc32UDrBmU//lV9
dqqkOdilCocLgmnqfKmtIlvvqLqknynwq8uH23v48jKFtGAhneqgmslmQEBzy2qJJ5AKRhaCeEYz
VUbQkZclc35XqEV9byUt9QC1QrWtN3okqxVMsnYO0TN/9b9bkV/AIiMwZuKGYZnYs8un5hdN/TWe
zaVMwazgJ9xVRyvSDILI1aGm8LOlwzLbxh32PvHnRMHC8ZDHrbxZtUj/ZsYm8J+8NhMD0oUKNFzP
qVUeCzENf5Upj6AnyGvuAIWGTYCIg3EyhwwVo4ZkNzmU5qoUI24loRKYBoXK0+3VfWYe/zo5OuzQ
BwGnSP4Q7ov65eTM2IrU0Oq/k5k0T1RaytyDMcivp0LgPpFFDuEBZVRxH9pZ/AUVDcqJtt1mGMs4
TiiCyS177VDhnfN6oTLqj0uavocEiCVNoWjme3dY0gdrKLlT1NAsU4/uDYxglBu1J3xnbY+SMGVz
ZxFp5tcQ52tqeWYXQJRu3xkhydAOAmZDV0ZBiVxUGkIAF+LSBrZwOeNcqezcrAD+CdlXE3Q9yCGq
TtbOQCWUGLI7zXhkj1VP+RhBYDAr6q7E5KQ1fSPiObj9CTbNffmDkB4A4Av9VgMoszVwKgwj4Z1Z
5EXKc36HzbfyPk3d0j5EA9ZYiINYy8cRQ2w6uYD3cb42Fyd8dAFUJ1SbetChE43q9KBFpvt3GTtp
H6SFar2yRSa041Bnxd9tYtKqNOumeBrGssnfq5Mzk1/JBicXTf2nXnfmBxNDHDg6qkr17vmfKqNZ
U6xX4SJ4SzQmox8pOKMcu1Bhi1R9A8Br7EjfzK7KBFp/wPf9pdC62ptoY2NbtookwU1n7iTaqKRa
lxOUx/yRk7F4BbdID32r4g/LnzuQemGI6Iy6RnOG5QlUnbY/iaQZDihrOGS0tDlxxglEmjeVX9qF
a9yVS8pJGSCDPC55rX3s3IWKsFmR+4CBa23YkoX7hMgDLPhS13I3EH1B+GrmoN2hOFiLcli0gXbT
84f9/xonJBX2/s//wHFe4oSmH99/XAKF5L/wEyikG//RULjC8AFxAh2fa7BpP4FCmvofjEPQGEJN
jWj92fbuH5yQ5f5HKkRLr1IN2WaCgf+HEzLN/2DYY6MQYjpIexPs/g5O6DJfkHKyMktA+Is/zEa3
d3PJD7mgnj65hqfUkDpo7dpvwfV3qMms+rloKcrqaWXBzTPTPYWcS+jaz6GlAL2Dwzi/YasipUPS
c7ushkjUcpIK3aifkrFLfKfWyh1F8utDgavixjctFvTy7sORKNb0tTTRHzcaH1u61Usa/IeUUdnz
/roMjn/O6pmLjbwAqKWtgJQWYdorOmalJbFxPw3m4huNsexgK699Nnph2K6aupQT30RCQxFFaQgf
xKtXKIw9hDkqjWp9Pwxlc0d/cqwOc9cCFB7SWdsJDOSf/d+n858Z4vghOdGS1rcJrgfaX3maNiZF
+R4DyQEFUqKSvDqOhVC8CkS/FwI/23m/rn1CwKQAvXgsgJNyvn6NRtx8gq1kMWrS5wuxzzJ7zZCU
5xrQ+d0vh/cK8Owy9HqeoE52Y0nHKI7nM9v6l8DH6bVk0QoLlI++0FxpByGOlhXbb602m31D5zmI
nTwMXKedn8K6E8Ht8a9sITaOvA9wpqGNv/m4ZRKnmpPzcce5TR/0yqXGzcfs91Cql6DYn/OUagES
GytZyptxRhUYRZRC/hBrvt7VPQZ5imN1j3UZtyBA4t/WN0JkgnSMAEmTSdlWLNVR5owaDshB+CDi
bEW0WpaFN94E/buzR6/sFmmXC3IQPrz1wgw5J7MStVOY3jw13/K2tk+Rk/dvYzPTd0a6tllgHRtI
DOFCyQe73JfhSI8WgDeLiHlEALlISzyriLQnrEW6D8UMq8WbzDr+pGah9tiMauHf3i1XjiPGKygT
IBNJ0rCt+ADp1OgskMzFta5IL+DEoze13DV9MX8ciFJ8J3Tz8+1Br9w/7FANIyo4DDxDmzsArgBw
O531rcAEHkALxl6BCcExmiflPquV4TS0rnmsh6T9+/bI174sNnlcAbQAAdfK7/HL4SzGZEZ62zE8
vdRXRIwGeB458mdO4yo7K3t1krRwKHMYDiIVm4hZ6wjfeAEN2VitfK1Z07vZmrWvdTdaT8WwJG/G
XIF4hOwIDLjfnia3D8JuZOyIOmxtARMktiK1Ng2vjNP83OlJ6ncaQKBEq+Kdb7nJDJ7vAbQ4ZD5t
miq50GaetNjsTFMZK2qpSrpNPlByWocjT+mKEkD+SPCtn6ausd6LolIRYLS/K0A5d67dDV/gn9/B
OlMB4XZAc+Py06IeOI5rzO8A7Md2DuOPtFlwfI4lirNuVD+FR+IZNKbBNDRHZVB/3F70KxciIRo/
BGllAPUy6Pp1b/Wka5EaG4ASy578QzGzB5ERtVvGXB4zgSvF7fGu7GWBfA0aKDJAJM2+HK8uIcAb
5sQGA0x5hBYrfFqtCb14xdnZy1euKYMwlEgBsgwB32Zq66hQfaYK6uVhjt2oPcJjMrRlem9NQ3sX
FqZ1buyx/mEjH/y6lT2l354qvAvkEAX5C1pgm2sSly21K5VcGg4OhTcYdMbBDS6eoi7/5B8Xalj/
u67S8zZypIsnuFfIF4TRm1WFXFzCFjM8myfo9WKIxMdzBZzYFHfHHOgzHUw1CjIgqlCs4j1jOXn1
bcKjX4ffqsEjo6BE1aIInmy5ZSM1OzYdMK/b63m5VZ8jdWozCB9JBpT6wimPatVUx4uogzLXkoPQ
C+sPevPCr3AZCSgdZzsSM1fHg83AC4POClD9zaLmJf14pKYDC7q4D0ht8tu65HNOyRc33hV1udyu
z9NDp5fCDNwFaRe1CU1UPYIoa+Pvpdadekilae266l+y2giPHRjhB8NF6s2CroaDXmzs3IiXT+o/
o/O6aTonBn/HzWZVBg3eARDmIDShSsWChlGmW9093RTID/mkQenqxE5Z/dqgMklk50rLe8lM+fXy
0QZYwLqW0ojQ0uIOdH4eqB2SNa66Zn/bTprR1Bymnc96+cQ9z5RCPj6EvKTUqrb9hhCSIBK7NQir
xlyhH1fmGbas5akNINJDb1fzwY2w+MDlWuws8pUdhXIxYn0GgROlIPnTfnnIhxCROWjibVD0wFd7
RYkeoUO74HJsjT7Bqu48L9emimaujAeZMJXVy/HsGMyArk/oB6sU2+Yksu9tc2rgDVgWZNK8SWVf
tn1XgxffueevThWBIPI14lGqupdD57FS2CHK2sFiT+mDXTbmIe77+dPAjwjSZd5b2o0k0s/PimUK
Fxy+Q1z6mytQHXWrLCMDmFIt3GNZINQBNXVFLcdc64+VbSHjVOu2ivSj4cY/aCS5b9KQF13Asg+0
cbL3AsZNkPHzJ6ExR5WBFgeto80DlGG+BMa0awO7mD5yvjCgjagzAOgE+eDqtINa3XoEKQZYR0Uu
KJ0mcQSpOOxcnJdv7s/fIQj/qWej7kP0evkt7KQQxpgbXTAPmJr3OK/cZxARfc36H13G//UhunwJ
fg6FtB6VHZqxBBWbz66g4BRPI1XJIrLdJ2PSq9MI1+Lzb78EZMM25WzKRDINuZwQSvRGTO+nD9xW
K3w9cfNjri7aRxQD4XSBKPy90PSfaUG6pWiOvCpVgMsB+zBubDrpfTC3eXkcVnW+R395uptEGp9+
f24WwZEFkxQZ0e0+pktPkXPgY+VIOwW1apdnRIqWgwG0wo+WvjneHu/a5gCEq2H9Q5mILuzl1Lp2
KaZKWPBd2nE6DrbZn2tAlV6Ipf3OnXDtOiLqw8bj2W1wS22D9Ur1JI77oK8s3e/MtfxQdU72OjdQ
/MmI16EK5IhD9TM6Zrdn+VzU+2+I8vML0tBRyfv5j7N1Flghg1iLlaAqVVjOXYcebTAntHUWe+yP
ugLBIlm68NuSxN05zldXPfc0bI/o2KAhgDF6+LqPsR0pZuAxD1aO8BdQzji8M7S+RXDVXpydZ+pK
OEASBrrdYjdwojZ3d4hoY6MD+ATcDW3ZdebHGdItEmll/Bq/keG1mijiS4LZ0lGUs3veWS+5oy/X
y1VRD6VPAS4dkMNmW+RmulDIpH1txxlEiXgIrWBsUhMkrlJRXY/XTo8OuGO5X+pWQb95oDtxcNBb
PLkIyn+kqSs+3f5NL1eEx5O8W0b0hAvP1+0vr6dR183Y21kdhE7YH+14cBCatfv71Zz0vxp1ER+R
R3TeFm23vMVj0frz9vAvd698uy2WhNotwcMmZRyNWkxu1VHwMO3GM5vM9SQ05KR3A2CeCoTvmndo
DCxtuXNEN1mi3LzA1rm90TKRCq1buU38ueg6DjSlWBnrDKFoPfFgqeIEBrL+21ZW666zpuhhdsM6
DsRo6a+1RJ0+3l6AlzeFBLlwrwN3MWmsbW7d2A61FcOdKhBKbfu4JWucVC19jT7OcvdvhuIKdS1i
UWyBLy8lTnGFxhFDZeDTv7YgF4Kwa7v4wGm0dg7ate9qUUnCSwbshG1vDtqESI1AmaQOTBUK3CGF
lQjhpbfswxI667e1WO1D08zojOiNi6jW7Zle29Q8l9zALnxfYsLLmc74Mi6ZG9dBm8X6Q2jFjpeo
kQoSGVmDjF7wmSxWOWcO6lxGqe3AC+RzvDnlFJeJgfmo8jHdRAZpaDY26nB1kA5O+SqqRzQu1tjS
H1ZTrc4aXLqdJ+DKgATdNHNYaYbbJqpYPvQ0PpUCenAbnZNGGT1AbyaAZHteH0C4zdXOAstduZki
kQ+sPHmTooy8+byhqO0pCd0iADZcg+pM46clLWzqdF34ABZZPQA/zf7FicVBmWdOIpvI6eRZ+uWu
Gqs6hciYVYHd9+FJgMl/mkUXHWd4B28Vc7DvGxRpNH+KsAhNqz57hQDh9P323rpyYHnpHIAEFJdw
S9z8iM7REWWI+ipojVH7Cui8OAl7Lo662bYfbw915bvyPtNqp7dG6fAZ5PXLfEGfyW3aNgGIrehH
p7vlfRnqM5gYtfXNLl2bnc967U6UMSZ5jazx4DdxucJdrqMB4ZRNQA0YhqrS9HA4nTD7AHMlXNCL
N8a/Gu7SOkioAZ2go4S9L6LQzoPbU7+yykJWmRxZGBYAAS9/CP/LqORIOwXc3aCZc7elBzYbmi9C
lG/824Nd2c1MFUF981ndeyvxvzpibKDUNEEGAeppKArxZrUm84wC1FsufxTrlEQ93x5TnpDNCUJ2
hqYJgg8SXrm5902YOVOyMMEoa7Q302iGPjd38e32KFeuYco6jCHTcmrcmys/RdooMRezDgaszbwF
Lth9mKFJttqEYx7YKxS60hn1ydPqxOm/2L6Ev9wQdJ+kpO7lNyyF1cb4yBBvi7B7LOpk9MZ4DGev
NGbthKHz+nu+yM9POlGE7GRSa2cHb6fbj2DwRFgHjg3JvAaiDJ3Vnv4ExvZd7VAKOESjov/+VuVo
gmCEdU9t39g8Nvmorirwb6ZpQ94pMtd51U9r+Q7mmvP59ue8ciEQKAFFFFKFnrW9XFFRd1qtZDbx
I34lXt1kGuzvQnnA9RzOqlWVOxHDlXfUwHfYNDWDaAli8+V4fCs7dZy8C/Q0BoRpcDBIRhfbS0Rs
ASWvpscWyhAPTR/Owbos9k4t6/oPcGgOUzJkH20mbI42EqgmP2BYw/Iv5MKGR0j3CKRBfXmsUaE+
mLMTSSWG6nPa7rn0XltuR1q3YJ6GBMo2706HPFWnoeuAatEi6kOniQ9dTVt6HFE35cLfQ5O9rLfI
viZq5hLIwN9srT3sggqbaeau76yZfU4yZKijeUbbQ5k/lGkp7sZ4mL1lVXA5U4r00zIoCTpvyAA2
ijO+vr3bXlxR/Bh6utBJVCz6oHZcfn01mxrkTHoXfObUP7UzLFlwU8bx90chTeQaRKGFjHmzx0I3
K5dssnCtt/P1mPYpmpJju9ebevGe4I7AO0qvlMaBULfvScUc9RWYqz/DSIZL2xZ3WmtOUg8iOt+e
0MuhBFVBHV8zuhSs3ObaqyObq81SdejhGKVPnIyPzoLV4NQgxvvbQxHtGfRqibRxK9lcPe5c9JTc
Fh2ll2hdDrWSDP1BYF/SewiLobx9e7gX54GCPW0f2TPFXYg+9eWGMFsHvsRkCB+c81cAbCMO5Et9
bEebBkgxKTsL+eLwMxLdM5mtU0LhBrocTsuWSKz2rNN1iWM/Ka3mFaK8/Wt1Mscn5P66e4A/4OWQ
y1wRU2xxdL4935e1RjlXPqMJih7UsCFPyC8BGBLBEnc66P7IBdt5kRYClLXRBf0DAdkBWWOjFX8Y
0H3phBXNiHFOky4ExcCLYQ5nyAXvBGjyAbuIGuQPIqUCVAwEjPLj5Q+a6mbNtByjJKdTjL8ctPrg
7EXNGz3K3y1Kh0hn3fU/4lnb8+u88ukJRTGhB8LLX7ZopKKzOqVv6EPlqHoiUycsv1Gj/iG1hHJM
187auXuuLT1VCUoT9E1QwNpGou6wimEecBygjEbBpNVAy3jF2nJ683wATNyZNenlDEtl9Bd6PB1S
pVg4eGoatn+Pqk517/ZuuHKu+UUgQQSdK1zjN+cahKNeAJhUERJZ0ruqgQJfq4sbcMr7naFexuES
TsMzz2eWjuXb76zrONVGqrP4gu5cgPv0GCA9Mj4so1EeC1TvD6MylsG6ToufjChMhkvX7VwuVz45
0alLpiPRWS++wAg52h5LsfiDrTV3VQhbQIf6FNSIcwQT2oQ7t8uV404lkZY9lAvpQrdZ36TLUQvO
TNUXRtwfbDNunjRoJ/edg+yC1gnRBIbiNm8BiswTkuujYuws+5UZA1qQ4Q4Vacpz4vJ0pWFCNRXl
LZ+aGLLXao9ketitH1ESXX/gdQ6J8/aWunKcUV2kIo2iAv4421M1FXq2uGEISU9Rp/heUvXuBVJC
pgexs2k9GkFOcwDeCwNlMODV7Uz4ypKTevCCYCf2THe6nHCcmqAEnFj1FSRljmq+9lDc4G+cavQk
zENo2u37vNbDU6OPq5cv8b94KwkwDBbc0YEVbBfAyNMWZGKLyfSEmlQ6oF5RaRGcSoG08O21vhJb
4X1LMQjMGOGk2MaSczTmmQtzy59RKo/8rIZUPrH3EczGPiNKM/vPrhSt70BKPWe5mxvEWJqJkQWm
DJPZxzsUnZcfnydNUHcERU+0sC19LpT5NKDkpm8aUf0UITV1JqJtD8O45vdlCQR8gCoIw6TcW4qX
gR2VKWlzAiiRy2Vbc8yQzzDhCJtwTI3kDJp/vFc4kjtY2ZeniRDomXEi3XlVU7/cXIg/d6JODNPn
WOnvnajRT2kTG3g+og6eZVLc9PYXfnlBM5wkAUjcjYkB4uWASoyIuS4iCxm4rPDLcF4DIZDy50vX
x38xFLU9FyiKBa1mc1dN+eAoTl5aPo+x5jmDw7npYttzZlRcbg91dRklDZMSBSYwW3e4NWoTRYtD
04cg8DgPaYTVXy6C0QlHr07SZGe4a7uS2A4oMM0yWTW4XERVR97Rwp2dV66pPwAIzo8c3drrIb29
q1d0zwtNhCfsbtKdy/DqRG1qXRxNnex9s6Yr3VRkJCbWNNFab6wF0jxTrD7hiZaf6ZfsdWOujkc/
Bt8oGDwvmumaU4VLRB0MYf10grwFOdeNTPK6PCzvrKRuv9/+kC8vWwpr8rCD6oGPt7XxSYsoybWM
8SaLBcT2E2WTxWwfp7UwkNLOLKQYMDd0Wje76yGU7WzZa9Ol8UmZS9JBTX1zHJH7L0SWs7x6vbjn
MDTFCUhTRFHeNe7XOdrrj8vPdRmqwvZRLXzzTAnY2nYA6mXKULlrLcSO0vYpp4f9XuksQezYh77o
evsYWdFefHx1UFI5eA7wSSlZXO5egcBUbiKl54O4NO7dSFRenBI81c4SYuQxNqepRpXq9z+sTVpJ
zk7mB9vuclBtToXbTCUOvSidt96AjNaxA5NiHLR4tP7O1KgYPVVLMsAxSYl8UmvHH27/hGsfFwAg
pVJeUd5yufd+SVT6eJnWPtZNXw17876axRismhL6tbL2/jD0e5nRtfGoQ5GV8YxQDN/cEu7s5HlB
adFXdLF8U9FmOoL2rP7UQNaLQ5dV2dfbE7xyt1P2AicgawTYIMsf9MsEkWaqq2IQAr0CDeHZeEmO
JiFvENnDt9sjXZkapQJsRjkngodk84qkPXIOkM+RIQNmnSJ4Uq1mEiQJugxpg4jPb48G5hrENVEJ
oK2td12V5cq8JqqN2hTC9QPCRQcb6VE4owg1YqU77gQdL2fHDQRFBpy+rBts9avbBmkrS0miYEZA
82jzQHtTqihekeKfh1vLuBMEPONBL68BC7QOHV5ie1KZrXxwnY8OeukkC2256N9mI3G+OWtXvMUI
SH2lrsL4q0Am6k0MlfsuqYcmO4W2Gx/VIpkeaUWoNBrKDjGk0PmDmJ189/b6y6+5/XlkNwa0KQJx
vsTlvnKFQk+8jEPf0nPrzMmsPX1BW+T2KNdWnZNicPfzkBPvX47SIYABFwPdwCSdkHnsKvxhCvtD
YbvdXa/0Ozv45SVIS44HxgUzpIEZ2pwVQe+PyLEL/QwRXuiyiosZeyUOalTOx9i0UZeNyz0c6csD
SkmIuIGvzAPH6bmcoiEg+MaWVLdFxQvbEmyI0iwyjoQZv92uIbQjaiZEAQknC22XQyGVh24C5iNB
mmMI3Ue2fTCspgrWHPuJbFKbh7VCVu32J7wyP5PckOsHcoQEBF8OihfZTNfNSoDZmWBbVBweoske
3hd93+/0j68NRW/RhtjKwXG2aWiDtWGchXpMQV0Tf9ehhambBVeAo2DM2en2vK4dUEzYeTVQ8pB/
szkBZH7WNE0lfo7lXP2orbF9PU3rgPIzPaqTWoiah9pYYm929PYbDnFVgGN6hYUGnq6HvuepQcBn
+IjvSfwkpZeD2z9w4y5LU4cIgmIIIFpOqUqp83LlqzxHDxDDnWAelxzzI00k94leK6/TxJS84gnT
8WQu9DdoBNWvwnZKnjqkpE4NYoFPjaiW18gfRuArwKTOaouhU1q2w2tdics/dVMROjpggl5mo8w7
e+b59t7cLrL5BRmCUjoNsM1JRPmrQhqzj4NBLd9XtZrfISodS5pU7JUIpxzioutP2VDjlGRn/Unh
UYWcMDiv8lKPAjAj9c5qvriJuOvgEtILpJPOf28CJIkRK/EkMRDjRO0nKrMOJUGDCiLms+KdqYbF
8fbnuzYgx4UHgMaVLOxcfr2wLytMR1BAowSPUVvcift60GcEdsrqrh7jvf384vDAdWMY8LkUzyzu
28vxUGUfDBP5dg+NSySGoKsATwCPsMLX9m9P7UWqJBt+chToCAIE3GYtCXqVFHlSwxunxsScgirR
35oGs5DC6EDPPlPPbqFMflm53c7QV2aJcAVZBAkveNBt/KWQjHVF3Ri45AxOAE0LJXD61p5hDMO7
27N8kbYwAuePMqAt++PbLq7o05ZSFIQLK8EJSwkbmwpFOPt1Ya+IHEwImxRL9Q4N+hHt8mIPWP6y
EMz4mCBwhGAM0CfabKCYEcENpYwPpQeBZ3VI0J0a03NtWykWPvTPE59zFHbHRJu0D8j5L0+ZXTfn
KAunnXBNDnZxoOWPAdQDpZLaNG3ty91Vg4LQ7Aj2S6S7aPWhLumXXblnSXPlzBAssK0cIRlqW86W
2sSjHtqV4YHlH4+DizaxAmjxgKS46yNvupcaXp0VuRqsSjou5MOXs1ogiNgzMGZP0FG4m8qofBya
Md9ZuxdhiVw7kgYJcuNG3Iae2lQAE0HiHsFcEX5HgJ00MLHKrzj7pfgq9brxBjlYe4fgfG0tJYlH
o7IAR33r7oN3Jh0eqaieaL31WYrEI0xo1epxNRotDXrR7tWGro/IYaG2RzF7C7Nr9WbEbBzeToNE
6aEwkAxXI0SOCrGCUE8R6Lt9QF9+PcGzSC5GERnax7a1Weh2tuol4+mDrpxMPLrvaDeax9ujvPx6
jEKPEaQKNvP2lkiDaHYUU56GDIX89Gv06tNAtO7yaqqHHOAmwjGI66uduYMjfLmYBF14mBicBC6g
LZaOLIgzPXAUDOiE5yFs07OB9EaQOKH6YDr5vDPNl3c64xlUaGzd5uE2N88HXXeEUzoX0DTKcoFh
z+Xd4Op24GoI99L5owxn4oleIQO2FyzIOObybmFoSCWImTg2eL3N3bJEhjKBoxaeqWdoS/eT7c29
qQdtZxf+Aib5EGljeyyGefLNQp+PiqWId6oJdvf2p375uAjkuKhm0H3irG5vXJQFwxoLbqQctDEL
wqbBXE3r7XvLRH7k9lDXPi/7irI80R0CDpubB7HhSdFDVCOioTd9uxaz12qLctZNezxoXT/tRLtX
xzNZW8k4lonp5U3X5UKbwIyyndhYQaQULOBg5Y8YCjowZLtlJ/29tpQARziZptTM2SLLBmuySBcQ
ccgcnC41Nc39BdfwYND0veb8tWtA8rYpfcMEBetwObWkUzJLlAzV2tEQIBw5+qJEXu73PxjYBQqI
hLRUhzfnI5qWKA4bRKMmOL4oiOfWIUYQH5nO9Ks9YnV9e7hrtw4AJPBVNIhYRPk9fyn74Lua6bWt
QWztuoYIK9VOeVYqsD3b7r6D2e11WmntbJKXEQ9lPObGKYAqQlfqclCtXmj+2r2BHrAGOlpJ3eHN
vMzDWbUnEpCymts3jtIUnwykD+/nTJ0/3571tUsI4jAhBu8l7G25Kr/MGjWXxc3AgHn4r8R+rg6Q
4ocmOWmK634g361JZkrXV6x6ent75Gvng1otAQ7Ppc30L0cWMyLZ1sR6O3ndHDujb1AXrZA5i/r+
MHRoQ98ebyufRfwKGAdbTVoNDq/YVkyqzDGWttSIA4kdU3zQ0aqFLRkNzvfJIfH19SLXSwRCQqvw
LSTp1MNSJOUrdR6rz1pYpvPBKOoaO+a51CKsB2ubpCrBDOgwD9WIPHycS1tskHl/dIml/Z1TdO69
skGs+AziP+s8tSlrqiSWlf4Qdj9/yay5RGUpxNjpYKbrUB7qdax34A1XtpjkBoFp414g7Nrs6x7h
7WpcIYg3+Bsd48yyDgJLkSBBltaLGzz2lv9L2nntym00XfuKCDCHUw5nZgcla0uWrBNClm3mTDbD
1f9P6+D9RA4xxNYP2EeCVNPs7uoKq9by7OaEoGfhwyl2hBu6zakJiCjPoysmiYHoS6z32TM6r7ZC
F52IBZbZ2UCSEdmBVv0x5loHMXXaDi+9BijVN62Mz1Ekhv6p0WYbaZg+Mb9WLlTIyDG2DWyxaHx9
sJKhCX2d8vbkJ+NA4A2aC5ntiNYLs0dxMR4FJDuuldYwmKef5AakBuslpPNSWHFLYOco5hSgE5q/
wPgW+STk8/n+Kd0zZdExBpVAzw/czdoUZKN1rXEhOTfALtk6WjVat/Bq5P1BfXbH4cnZoP+Z2jyI
JdSCGnRmBAHWoD0Lvc6/LjI18skCkXoB0To9TFa1XO6vcNcsFMcMoVCnIL5br9A0I+hUElboNrYo
fdPsJNPwOFSJr9ZD/dXzEuUcmq17YHfny9I9lQxuwAspSGzsxm5XTjG/56S2RvGQSWrEunebN6Gu
/ri/wl1LkGaRyuC98TXrFeZF1aFwlpExx04JIHhyLp7ZtDrqsXbz7b6tnaeYl/H/bG2ijKmsRBnB
qXyKu1x9EXDhfKtlX/q+ld0VoYBKTYWg0dqOXJtq5Y65XsPsoUUNKO7G+zhUegl1fXg0K7VnSpM0
eySkcvpicyqTyrOzEEThyahRnIGtqLgA1ckekOqJD0rlOyeRuIJGCC080sQt6FQUzjTqcUg2M7eA
nuCyuCjuSF23FtE1Sxvt4zwV1l/3P+XehoFtkweDphY58PpwJLD6O5Vgw/K54CwmgjFeHdT8fSt7
X5H0moCCgiabtnEjlE8HtPhYWte2+l9RW/5bl7rz0W6y3zjrLIUgBfIpKlyb7TIcAUBVTAb6DiJ5
W1kNr4geRXWwLKFysF97iyKcZpQOX0z+srFVS8YI2LgNRAjHPrBUYHf9QFGzmuejId69XSKYhtbF
YO6bfs16lxB4GKHPxzdq8O9eFhT1rk4fvhrpSC1Pzuwyac1X4tCvrdRQhY82jBgnp2//JuprzkWm
LxedBZ2ELcKH+4did1GyNipJhkk7N4uyFW82a3egPkGp9A2CL2RbYe6EanDfzt69YoL/f3bkPv4S
U8oXR0fxzDgZI3Na0JnWvm5Cpe2g9gAlhpc/IVThHdQOd8JJEh/SaFoLOgwNG6NMtSDyWC4Y7Rg0
9cOwS76IZO7R93Kct3nvVvVBfrL3OclPqPZYHny3xiawSrWsSweVo99CG/vYL/X3MlL1g6xu3wiH
RE63MPy/ebVmVxSjbndUeArRP3lNClRfRyju9TsmB8xUymbUrW7aXBrqjUhoGSeATMkbmGfQe8iT
NiiRgmBG2H0evfC/+yZvF0alRae4A/4RxuDt+EGq9XqtjZz9nPwg8Kza/qgJw/1038pteiPrOagZ
M5wpSywbP4jKgx7HDNoyReLk1zHtlmc9Tdx3JXqlJwTBG7+Cd+KEXM9wvm/59hJgGZJMCso4KybH
1pcAtoh6BFbOxrll8cFQjOQLoObhGSLW9tEwwxKifUDN943eXgIKSbLyKDG0DGLJj/7LzaO6iYgK
l4/xq1GmMpbLHJ0DB7zVfy15RS+/Yw44p5QNlnWztTktiWxYe6S5ym5Phpd4p5AHNJjS/seMzsLB
J91bHd4SIm2cJfAi+ee/rA7hG7qiC1c8EwPTVsDyAjtGlEVj0P9zNhTKQT1374hKbyLnIglEtsho
qJSZyYnIXMitohMdzfFBjV3zoAW7d1DAY1CY+lm42ZbA0hYyPEYQQZp4XfKOxHe8KmOaQrY89mjc
NW7A6FwZ3N+5naXRRYJQRA48gpTYnE5Aul7PQLYU0YzGZxQC47Mn8DL3rUifuy4zgv0i9QTlLBm5
t4Gw2Th20edYGYoZoK1Txn5i2t17CL+yVyczxDmyhMLfpZq67cWNFKKEXXDR9VQNA8WYUt+NUWrx
lro6aWY5nCaEig5egJ0DadOml90qjshNA7BslsSsSx662Bz+0rLIfaKpVX5RlBE+9rDIDuIfuSnr
zynnZUFa0KOix7lF8TpWQdN2meECQ+jrg5mO05mhY+cEM0x0ypt6PKHEVTyhKVx8dNF+ODgzt7vJ
cASxg0qPhhFWaxOt5LFAe3V2gOYX0fjNtUO1CSABL85LNUfDwafdNSaLFmyozfj1Jq8pxmVSh6Vk
IrjJ2muDoOCbdpntK1mqdr1/Sm8nIGCgMd2fI/SUT29I40sFcQFEkIogHnMkr0sxnVWuxNlLh/k5
6ifUcCc4kKbYYjBYmd6Ywm0/3P8Nt/cRu3Sr5CsFd8wWeACKBmm6BS4cuHinRxXB7XOULPGBv961
It9aAk7CP1N+9F8cKNk4ZzR3i2DUh/4BsV/m12nxHdz621shAxVGaWRxj1XpaytG306Ia1NEMzrK
3UayiEe9F9FTYo9z4WtV3x1s4N6y8GEGnX+L2ckt+jsyO4iSgRMES2O0H3sts9+KGgHP+1u0tywH
TAj4FV3yW24+XpE68NuiBApeLkOiZYICIF+gN/fUqfB7LTqyd/su8AV/sSd/zy+bhfYNpCEW9pxZ
eZuDh/oCMev8kFhVysim+6334iMNkpslMlJM70sC6CjX3YxIqCGU/kUE2+uktyaS3oN3Gk2nfTAl
8lxLqiPY/s0lxx4jAVShXFhDb+jUnLhcuj5Fi8hQ4uQStzWNHwN4A7+yP3BeW2UI6AaxZcg2AoeE
2elNrDLhHiuIfIuga8XsnVB0ir5ylqb3zjIIqOuSoqTpNuenuRi8c1N7xnc1QTXLbzM1fdMvsf4Z
4UZ4RecUSlwkNakjTYK+slkW32H94PcXRfWFpL570Ox2/oMKtoCyzWgmX6nag0Bv98vhs2jA8MLS
LV0fjrKG5nniOgVJMdlvRtUZzhayfRe365QDT3xzDuWHwwyADMkyusUhDJNjTCOpd5Db8zdrdMvv
6AbP1zLtUWhCXTUVJzNPjpjv9qxKhBigNP6/GQIsvZiY0piKoFK0+ewtU838AzInIYw5l6JXVGD6
una+f8X3virFEgaQYW8E7LfxXEuWDmFjK6jQWvCQtak+Bx0EnNQJyyMg964pGj5gzeASJL9bb+C4
dDMSqrxvPYgwH+WRBqmUMQxiKt+v9cdsIIx6ELyDEZCFp7UpiC5Hc3RN1MhGJLEdumqBsHq0ebI4
vhjoSv15/yvevqfSILBFkxEEKCG26AtlotSGZCaP2RShp62ZlXcB6Jw/Da1SvRmjpXtWprSDkzer
/km8VkdINK0OXtSdA4QVoB/MrdF42BK4eAXowap0swAuBidA+LEKlsmsfeRa53de6DW+XZjlgdGd
XcV1EhNSVufh26JbuqJnWNE1UUdBkfkcQkX0adGcjtYLSIn7X3nXFPUpSIeZ7yAuW+9qU5JcziOm
olaNrl2XRxfh6sO7zmrz1zsbEDuSVVSOO9006WEfFKZRKpgSjSelxd2LAqHSqSrbo3LHTYhL9CO5
7ID1Qu5MCrdeVVSkEqYUZhDBFF6gRpl1RXS5PVnC837YVjOdhQZ1aisRC5BKHaVFex8VYLak6iKV
oDCxNt8QEdlqiCx3KzXfxaDA3Fqr+kmrw+GgsLPz1gIzBfggOwQ4gY0HX5w0bgpryIPFECoTZG39
kocwVVVhWyIYauTX++dl7z5QOCX6s4G2UHpZL80YKJLY2ZQj0qjXT4VjNeeq1ssLvD/LKdOKAm3o
tDlwPXIRq4xFbucvRjePbjIXi0DZLQ+m0BBQKBf5/MJQt32tysx5zAwjvniZoyH8YOrZX/cXvGub
chbYC95+YJPrBbvaNPdCX0hXpt54Xkq194kMQUx2Rnxqy+F7hqDW0zDZR8C9vUNE5VjS4cLYCt5k
bdiby9JVkiQP1H6JHmZy38+pSgEBd3UEC901RbT285mUtE1rU1S28lLqPDFSoP2xFKrzUgmHgeVB
DQ+qFHuWDI9OLrmJpO3fLIqPNplM62UB2LrktHSLch6nMj+nk9NeXr9xDI0y9k6wByJxczNK6oKp
reJuoAgtH+cibVH/zIuPTdMqV6NmYplHUqEJ0E6f71vee7moRdJvwbzD5Jx0T7/E3MBOISgcLTzd
omiB7qXGpWnV7tGdbUTb2gmhXCdxv4gmRo9al610QY3tIFTdu6k0y5mwwi3wam/WP4dJJusmWdCb
qfc46DFcfUiPnpq8/K658GXTyjmidbtJobioEmlCt4i4n5WvF14nOlqI9YzNhPHPyeyGP+D9cQ8K
antXkqEUqItkHYOZz7WVvojmKe68DPc6TO9Lk/100Qm+8Fp+c0KrXk5N79TvZhs6i4OPuvewSNkH
5uYASzpbFPNYCmiM2iIPTKG39cnsk/E8dVn0YFlZ+yXta/e760UTCs8uYtTd4qpHygx7Dl9O4IPD
gN6DqGSz+CFrYshHs8DmkTuRPoMNQXY1GFWqN2lpHg38791Y+YISvQOoprK/tpfkthb1Cvas1MoR
bfOWQGvs9BKjmnhwY/eWxvgPST/VIa7txlTaTk6XVAZhD4Lmvle5NqP8YfeQ2+V8HrvFPDhHt0vD
v0oST7pmVBe3rXzbbLUljCKEfqfxY9R2w1OvEmjmoHheHdABwaAkI30RvZFtPJJLki8PidKgSOvh
OqpcdqDy4lK0wjw4obekARLuwX90o+UzvfV7XleaFIMLIlYlmf7Su0w0vjkkEE/BXL+8zDT1/hmn
fDp13pDQFLeGP0RV2r4OW8elGMfqwBve+iF+jORJxSUyfbkFFOaq4pj9kuGHlST/VJXWmJ1yqzMf
7JFylR8Wdfc5GuoyOggadu1SYYFp2AVrsG3zDnpUtL1AYhAe1B/IlydnoAfOm8GiFE62jVjhYBkv
9z3/3olimoMqgSQBvAHbe/S+zKKpssAcNdQPlzG7OOmovp0N9DR+wxSvGlx5eAHypPW9XMYh4h9l
m1vQjRfLTRZuTGMjZNIe6U/d3ksdrAYHmBdbgvs3Lqfr4t4aTEyNpl75ImPWvSfGDZooUh/Am+mP
r1+afLVA2AALBbq5Xlqb2INe5g23pbTex25bnXjLy4vbx8uBpb2VkShwOiRY8+a9msvEcJWRleV2
IrmJGFtYmiLypyTpXvp8LA9AdLfvo4SIEDUzkEFWud00U58jxUE2NbC1prkIR+neN26rH0Ai904h
sBdJ9y9n2bcNek2vqPEXdRpAbYpkt6LZZyuj1TXgc873t2pvQb+akj/ll0inTMy+jHtMuVWmvc/6
ML1C4C1+4yqTR9GIBM/PxPomBp94CrUI8RtIw7Lp2St7923YQi1qiSn826Ejear7w778ztmQMiOS
fQW/xXVeLy3qSlS0BQoqdNH+CUNKN8ViOGhgMH82M9Pz+i/5k2MbSClJP/Qya3MhrFSIh5sJPABN
d0FNePrAjNTrdM+YTARM9rMQRrRPs2J7AFsPtc24wcpQ1KIFKBxWp6at028T+uHvgJcedSR2ziJz
CdQViES5adtaGAx8LhYNeRan9sQImHWy4xhO5fSQdmTPFA8ehQXqmbx+Gzc1DGo90f5IAtVIaj8K
UWYRkdbjiykc3T/2e4+srGMyUUWsQrS7yZiMOGPaG6cb5GOo+kiXaD+0UDFLP0wku0qOHpqLOEEQ
T556jWBNOsGAkl/LoSxPY2EP3+//nr2lS1iCyjEltdqyiJrMmo+W0iaQsivJe23Jw7c4PTiK1OgI
/7jzrDq0SOlW0qpkRHRzLTrEr+xiqZMArRS0rp2mvWT1ANY6TloBRZGGamvmLQ+vXSCvD+AA4EYw
D8Botr4dsU4bz1Uzhq7axDvr09D62YRDsNIkPUhRb++9wWgx8DBm3+kEbzUegPQ7tZolSVBMY+4n
XSPOANbQaqmY6vc0uHXvL+3WhYLek5VVin0scpunMSkMSqyHUH+BKu4Ltd7izNygcr1v5faESBo+
ciUuBy3mLaRjyCY7Z649DqZ+NIKiSRu4sjokdhB/8e+b2lsQs6wkZnBW3ZK2jyVkc6WmRAERuwLo
jUnlkTJ/cN+KvM3rmhAWqAqj/8Ep5DSvTwSco7QFRTwFJZRUf6itl15sC96pltzwmvHXfCdSyj+6
ZnZff0B4xKkuEg3JltMmTWHy3Jk8lGMDXmCkXHpvuHRGN/9bLilqEWU2H5z9nQNJNCSnG2QHhaGD
9UoRXQo7q8de2BYzEKoqR0V5iB49vZmvds5M78EG3l5xkgciPfqvMDeyh2uDed3DL1QQIXdpE15r
hnYhOV30U4j0+hPNKvPJSIb0IGjZM8qMKj6MzB6SMXmAf4kkRGYQmU/TFDA5X571bHDOTofGlWYP
yhtbj6o/ErTNDgKLnVsBOPj/jMpP/4tRVW/BSACAoBNqh6eqWdxnmlDjqe3z6OP987q7PsJ0SP65
GTdDyX2Wt6OoOa+I485/a9qIbIabKOUl0Wcl6AqOUlk5r54eIw8EUMWVpxYNxetmK01Ihaopzqcg
s5hSoes2BxOc5E/EoB71Pct9vZvBHiEaYgIykd/sYj0sHqJZ5RSkztycCHX6swkD5Wl0UufgDd5x
AKR2P4kA6XvxFq33LgyVTiCcPgUdvZvnBb6FcxsaDBmlaappD3DhKNdQU8u3lYHi+f3N3HFxtPdk
N4wyDEWRzbnJ9CkdGm8Zee/Glw4lpfdTY6af7hvZOZzoKDN5DD8Tsca2HELUpJVouI7BEBuSXnFI
rjzvdZAlc3OQl+wcTob96FlKxwYNwSac8ZIsmysP7+mWdOfbTCxUJNXyqbDo9+V12v2pFCI/MLqz
PkgPKOFJP6rx4K43cFaVhdJMMga2N3l+XOZqANd695A6Y+ff/5RyP9aPBZPcjIkzoE75BaaFtSnb
6kLNGxn350Qm3xSAcCeTEamPVPGKIKXwf1BZ2rUHahMkDuAjqh9rezOIi3psiYfM2XKfinxK3sZ5
VDNvPEXF3403FAcGbw8kC6Q3K3naSJq3HafOjZtx0hYRaC0aKVEj+uekm/qDl2jHCsxzEmAkKYGg
yFgvK46XzNAbZQg4sIw2A4N4Qp+oPHDKOx+Pog2jjEBxOJXbgtEijG7QeFUDERujQUQ9ims4RtkX
pR2S50Vrw4MqwM6y5JiUZIqgPsU7u15WZY1VQlN3CLzKVK+1I5RzfDxkf3vHCFtpREBLLu1skcqL
q2eNZy9D0Ftd8iFq+/BJaecEzzxqlJMH5wPUJu3Bju19SxgoCFMgc5Kp5XppSaIMxCvWAKapcP+G
9zc/Rek0PcQztNupmI6ob27vNBkYdUdJ0sl4wBaq2XkNM191IdCBKhDKiZPmqTU5MFRvj2C8O7tG
fwVkE/U2RjG308PzkHpL15cc+VI0T01qaNcsJiW57zl2FsQtBg7GJaaGuH3QFitVWldjQVOY5x/0
tO3PqVmhLhgfkaveWgIvAt6agXpgMubWZ9Csip0+rYhFXLV9b3aq9ckrikVnOLHx4oNl/RwbX3tE
rP3cJYiSccGb1xO6LZEgmjcFQxJXAi7wUkL0l8R1fHgtSK8WuiwPQ1TM4moR08D+MycWDFJlqpLC
1qqV+yHKxD/6RbG6U+b11edxnOcfitsln+bYFD+IWz2Aeg1MaA8zJWbDz0fdWIL7G3R7rZgBpMAA
VYbkzNiiRASDDZkRJX2QRNRr/Hgqqs8ZbaOIMTnX8CFZZwjLGw/u1S3HCyE51SGGCiBo5chvHi8P
j9sVcd0HggGvL1O4KLAeC2vRzvUwzP01GUb7YkqN3Us7Mnxuz6Hxn+K0te0vWWx6By7s9p5Du03u
KCEccKxv9bqnOMq7kQ4D3ONd8tyRKZ/nKEe/SmT9c5Y40cF7s2ePnjSoEVrjnFl5OX8JnE2k3jMt
7Qm+Cks/FXDjnr2G2dsY7KQ/oJ918CbcXnbK3OiRk5XgYG4e1E7QVskr4srESRqwDi03sMyOouU9
K9JV0rGl546rXq8KAVBg2oAxA1Gm3rVCAvdCS6o9OLG3F13SEklSQx5s4pFNcCCWVqsi5GWDSHeT
M3W39g8zbDJf5Q6+Gh0iTRGjMgxOI3iLIUhnwOy51xD+Iy/mW0sxfiscxFgJyacHO6yiP+9fxr2l
QVMB/RJ8l5IZff0Ba7jXmGQiLq7NyT21kJKnvl5W8JcZdv7j9bZkIMLxo3hPyWZtq1PqgQMDWdXc
mfEzr194pviUvRXKXB6pTO04GQ4EsarUbiJQ2KyrnaYSTxCRvKmD+qBMnuPDdlf5NSCkx2a2ppNO
mn6+v0C5gLWLhsyE2BhFDt4FgOXrBYZaM3m9Kl301AyAFZP4pcjGQYoJuC8zjGGPdSicSzcL7et9
y/Jf3lqGuRlcEUA/mr6bEzp5kbcsOds4NBRVYVuDegT/P7p/37ezd1yIjuHqkiNpkOWtV+jmjjNA
0UXasVAhLugj+nnt1ujF1tPBx9xzWBANYYe3ldx0Y4oGwjwqcwi1GZfPT2GVu9Qp9AWp2z7b2Sj+
ur+ynb0jlIQnRkZ7BvjB9cqWKUvQipXJaWlp6ISC0BwSr258sSzaw9yjRxzHg+cLYzkiWts5qzLw
Iu3g2rPiTcgHOkPTizYjjoiWjDlJI0eaIAErYOi98pUWYelPTj1d7y94ZytXVjff18ijeVlGCg0G
5D/IFObzsxZF06n2hiNCl/0FyvKzpAzl2Ky/LYtWGnXGqU1qlFwm056BslTUNAbeYDTTx2c30470
LeQ/urkSsqkAWbEk3ra2OEknrCaIODRYADMVguiojd6F4/J6PDZPKp1IGVGRIWwpSfNpVCGQTXjm
vOhrn6fOx3xxwktrDPrR2OnPycHtiqjvUewmgEIQUX7mX55wiAvCpa9AyNidW7y34nx4FFFoAh1O
qnfaNCn/9HPbB3rndE/wQVcfjTHrlxPOIfu4WBaevc9tC4EN+58oNsMTkUb3H71Wqq+5NSMNFw1H
3ca9W8UkHSkajW9EvjaV0DAalyqveTn1eJEEU1CD5y3gygqQUQCPc3WOhnI509dXDh7S2zNHiRmX
qOKO6Xxsz9xo91afOQ40VmqdzH7jZvUfaqk2o0/BPvmgLbOrPQ6M+0QHhm/vFeUYleyNkihKEFsU
gxAGkJGZ4m8/2/Zl6Rvvmew+9xcRhq92kZiSc3yQOtNF2hJW270a2tOEz0pnpWSG1xF1oLSj/d5S
qqbzs844oi3aXZzMEwGHAI7Z0pCrStNC2TLwrPbWGCSJZ18KZDT8RG+1h/v+6fbosDj6qjD3ACnn
8GxOezjoqQkPUlD0jnnp9SX7N1NK9z2Cvd25Fgz7WT2DoKqaHUH0b18eLOOpaM5RPKF2srZsREbT
2B53eq6X6eRlU/imKnjp4nCE5KDM6vbl/lJ3DSK2ROuaiheQ1bVBQtdm9hIZK7tO8+wwwufnVVqd
inbSL3ECOPi+PfmWrR2JC5coHSyaFDKD3XzayNQQeqnxxwUy6E9Ja4xPngYDz4zyUwA/U/5SAea4
VqJefHNpv7/auunIerrBD6BDsklkIz1vBnqC5H+2SV85Sija+kbh4sO8tj9lzHdcGDEr36bJ0J81
vTlCre0c4tUP2L63Y6Noxej0Qd/QxKM9AoakL8SbzpqOBp1uHyGCClpX/F4ArXSf1zs7aZnjFV45
BOhddwF0kOZJdSFuvf9F9xaEt+NCUkmEK3Z7YMfRsmvRDEFj07IPZxzNHA4owafeqwU0KEJQRac1
QbgiydbXC0r4w1ozhyFQMyRTQ83M/HKEp7CeC/UUK4csUntLY5SQwIGVEfNtwjJRtlNt1eoQWFlU
PrgKjjTuq+VtDVLzdP8rajvXUNbc4OagD4go1fZcGLIL2uoDmD9Glom+6GH72aw4f9PS8hYfLWDr
guryXF5nnTH/cwz3znt3iK2CTtsAwxBoCW04U2GuXrI5tN84VZLGUBBY8xHt8+53kQqOkPAZ1Mjl
n/8SC9B3oxqU90OgJ337MAjoqaY2/pREuXfgnHYKJ8SJSIVBMAAmkFL12tQk3MhrND6LWtXdpe0q
ROoUSrp1m9bnpo1fUualrsjmTNxd1T253tI/MbLVHuzPzvbwOwgiqLeREGzfnmZmDHeAqC6ohtxD
ZTVZLB/iNvtEamswrxg5r052eOdsPjDZAKHrtqsaowZXF2k0BlOcDI+OK6hXCkHRzQqVg7XteGQG
B8Cf4y7IG7ftDrWoAOXNowhK20CJgBmxxyUt0gCpkT5gtBCITK+Kh2aJl8AokiPk5c5pos5NNQ7b
MqvbnPzBZpQ2qVy6LUmkPrm58XeB+M6foj28ZDsOkXQOECS3jErwFo7dQNFSqkkIjXNZG+ehz+pP
S9gkB6QAu+sBaE6RGf0kOsLrI2s1uRmTm4oAFqnlKV3G8RzniUbRVKkPdm4nTKFWAxUG8y6AvLcx
WON4ZUEHRgSWHRefh6Urn/LQMz5qeqb7okaaqky0yS968/VVKUDelFKoS2lA7byNC3AUThSIcxEU
eaMFjNwQ6zZVep7j3jgIGHZ9gGTzoxcHnAfPv/6gkBvDt2TR+Wt7r7moWhFdizKtzlMWv/SVlX0Q
lt6/wRcVgbCXzB88t7oO5EYHX3vPBxBWM2DOrDJYyY0v0gbXbdwqH4Nqhh3Pz5eOfpOq5dOXuDQB
TMczVOn3n4WdRAI0NPPDTFHS291ynZizbudLSlPXa/qEjr8wEKaynWd3RmZnQoHspITwRd03undN
5MbSCIdulcR5/b1nRgkH3Rr43uRPfm5PykdjrtIP963sXRMia3mACMWYJF9bcVIjscwWFTyjj6xz
GIrKX+aseTfp1dGE+e5X5NzwjFA4AtiwNuVFczqg7CUCFI4hUNRCRmyTQVRnuCD/7adCfM5V86gE
sLc+3iuQFJwYl7drbdQsNGuwq2oMIOaYOJRDVwXqYOvvhtw6epD3FkihW+V0yi7Dtm+Xt0uoj/GM
y9FE7D7aVp8kHxsYpK3PxiRfqaiCLdfSx/yoM7R3J0CfUhbApfF6bGLMcZlNs4doIahV+Okjgvig
Ft1wGRJtPIMpPGLoOLK3id9DLZyMOsVeUvdpoDYiPudNW13U2XMvkTCOWMX2dtFCWV52ykH2bskr
JJ+QGOZKBAoYti9I7qGQPYTmcEYVPDnokhzZ2hxTY2L8P9OBAQBB0c/jbHlP5Uw9rJrjI4z+rimK
xbSWIamihbg+nFFvNDBEAgAw6sL63A99copFoZ5BxL5+ho8OL4gN2m4yp96WJDLhKWOlczYrpfWu
sNu5V70FBeBxPS73Xcqe44IPB4FEiX2jsbBeFQ+QW1q6EAGDVKZ2LvmeQk4hHHnlvUNINsBph54J
8PXGdcVZQqnddAlKTTv5w1Rym66ClT7Vjhl1sAgvR/d7b7ukcCuzkOSuDDytF+YiEg9hTQRglgjt
otqDeWlK9NjCadAPKh+7piS+AcHWnUEROrtRqS8hga46l+cM0dBPHIyBmoCVHpja2y7QubRIKJKS
OW4+Yxu6OhrAiQi8UHSPJbndi6IcqhXsLggsuc0zStd3C1aCoWtxY2iEgoopimtqFwhg2WKo/KSq
s4M3bc8PgzL7n63NPvVGZbipA4ABtoH8yiiT++wok/u9zxnsVNTYCVJGy37j1NOvg2UBeDn1Thkk
/pKN5WndN0OKi6K0Uf1baC0TXFHvhgdRwe53/DmGKwebgduszVh5ng7lyKFnwjlNH7U8Mp/iqOva
q5qBMb1/k3eNMYclsRoSg7x5VlogXlU01+QEojND36it+GnuW4VUT8PL+79hDUAA/JRwFCHJvV6a
BoGVKrL0JwylemeHI+ogk/EU5YfcXXvr4tshqwPmSY4ErC2FWupoCjN2YIfyKFCXsH1EEuRzLCrl
AHa8lxqQe5BCkqXDQb4JP+ylae0y4QvWSF19USaYBZxKzyTzdXIWfa/65aTkp2XKv9z/mHuVDGQa
YaGGv0Uqj24uQWR7SlaMZFnwaC/P9ojId2XN1TUdBAzvg2Jd88KcPjS1SL7CnxQ+t5AjLifYurNz
FVfd1U4j45saDoX9Jrfj8t/BEPN/93/k7j7I3gA+HKqQ7WGGf7xONY/3z1NH6yWNR9C1uRL944n0
SL1k77GgRwPKAsCk7EWst9wqGUxtHB6lMvQgqMU/XOxuhuFfB/uAqtfRUPXe0iS0hUgXZAKQ07W9
vtQSnpKJpz2bYRMr7fSLKTnQq979nSSQiUJaaDL3hIpxbYqrG9OqZGl2kyLJgAxU+wVKbWGfkho5
kd/wCfKpcKEDYrxrm35VUmCQKQxCPy0NHyAh6B9KPTFOCBvG5/vHY2/PQMHJvAvUCnjT9cKEcOLI
HKkSC9nAj3Q0rKfSpI5WRBnC2p7Iv903uLdpVDapGgDXImHY+DthNr1rJOkAe5mpPEa5DiF0KeKF
S9qHB4/U3rML9RwsBxQOZGqyXhzJvFPNJrYqYYqPWWb3SkA6KJyD/dqxIzuujI4xwkhPavMuOXo3
lwVktYE1GvGjVczNOQ+b4q/7X27XCpgAYDjkWTedViZ6CoHwMLXIouuqi6hi/TFK9NG7/v/Z2Zx1
KjggE3kCA6BZkz+7Uw10K04O+ne3chEgAKBB+3nGaehu8w3L9BKhIQQb1LoRz092Xk2aX9U5bkk0
efZV7ZPq+zhX7fBgVLlGMjLETNuboEq+o2ulG2d1trpHTY2UOCjoOQ9+meQO7k13+m9tqWmKrxpx
8tInZa4HYV1SXGg1CE3fiTYrpRucDeGLsDSW08AcbUaZITUf3Y5U4txW2fKpnfP2iCR658LJcT9Y
YkhIqJptSjyjPQIdM5HyjVwX2oAimV8MuxIPZpWW0PTPR/NNe6eGcJBz8xNOvu0kZGFpejV8EAHk
uGnhj6Pa+k5f10fp8U5ASGmOyVpCaQpi28qD3jVFKmqVbk/bMoimg/onWlODqi6069KWcPiRFh0c
1R1nIqcqaEBTgCS/27wAC53Fxej5mCqcHg9jOmUfO+z5zAeYrw/hKYd7svEDIwJR6NqXDDlVFVSw
e45rZlEAK7IvBn3hg1hmb7dkC0DycsppPnl6folwa0UXuhKVNO0aVfkKsnRM/ZHqeHD/iu8VGmXY
Qute8nnziK7tWF6fmZ3u9jBQJ4Ma2O4UfRA5quanskzsH003MgvTtF00vh3bsn9BvH3+O7VtRTub
WobOyf3fs7ePhG+UdVA7Yg5hcylALNYpsFFcjkHtaok0/QFE7H+l1h+Bo/cswQcHeEvOVjAjt154
M6qTGi4opLtUxP4SGt0uKGazyQ8RGj0ItveuhNxLcghKY0wXr21lU5TlnaF0gdYpjvZWjxwHMKNI
lepkQm2bffRSxc19yP+mv+9/zz0nQwkVL0NHhcdiE5jOXd52Giq3QWypSI3MfY7kDvo87zUvsk9M
ps+/sYE0RBmydWiOMi6/XmpsKa6pKIIwItczX3EUB2plmP1rW68Pzu7u2ggw5QA/1bgt6UKO5rWZ
jVYfVL3ZPyLjZJ9CKxZXYdfDoyU5kO9/y90TA5AXJjiQA7Q61ktrqQoT2eJjzE6Ez3GlGEjoeNqT
EWtHTY69pdFgluLoFJGA06xNCbiKegFzACPEnXUdxJye4tpJLk4X9n8q2D+IW37eqw1CgYleagWy
ZEBEKX/QL+6G6G+E5ZQpiIImz6kQg+v5/TQ911O5RP5YdNPncjHnH4bS8LDSuI0/2kZWHl2UvU/8
68/YXErqc50ZUYcPBJ8FZnwGN+ELtmBDiaPfeDFwdyBdftImbDEgcWwIZHGYoYGwbTglZqmB4ky7
S9NO5vn+wdnz5VABy/snhb+2L72mjikcaWTA8axkp0zXxzeUXtWv96389FjbPUQEmKoIBRWJiNrs
oWu23aRMA1OwlWOf01GbL0biNgGof0aNbXd8Yxlp9SYuwedVxWQ+GlnUXxk0bQuf8tfUX9pscJhp
oOhyBftdfSpDy3rsyZ8P4vGf6Peb32pJennYPznom/dah0WxhG5sYLSs7f/NIkdcu6XUVPo9vclA
bYdmcpE5nbjqetZ+Ap/vfY1NI7ugzZt+T2pDK9CndLs6aOuxPNivvVNIE5N0UmO7SCrXH7Ks4Q3S
qIEDTW2d5NSMofsAZtP61jFue+BUdmoWGACEREcB+octnXpFTfP/cXZeO3Iba7u+IgLM4ZTsMFkz
CiPJJ4RsSUUWUzEU09X/D32wt7unMQ0twMtYgOSpKVb6wht6kS4cvMAhQZ4rsS/wKknWHGgOgkk/
B/jZN2rOr92eFyYJ3QlYMQIFEOPenPiuWVcCOAq6Yyea/dDOHHRPEtTtLGcOiys3zIV5ohwN3Zsb
hrbtORfVRe91GkO4SDIN3djXiKvX7hTEU6vqR2C/9iEvzO/2PPVX0ouL89wk3qjD89qfY3WCvoE/
WkJPokw5gTTxqn2LtOXRHMNrEgyXblGq8BuGmuQMgfPtd/nPLVrDXFocq+Wg105+0y7ajutA6TiS
WB0bQxgkVtpPL8LgijGmHOsBZ/ljWydGpoUJ6xfxNxKI85s8BQGVDbS+MKNT92s4tA82neu41lfb
fZfnS8oGYmOzpTj34Q1C2YLKpww7rpbxwauF9xEOWHgXTbinmFlXxOu6BLsKKfk4cJZgH8r02pNx
IbYiqvp/v8M54jWEwEE6gpy8svvu22zSlPbxHPmE3kF9N8159NLLqvjzHIDYlOY054Y85/zU9mmU
GVUFfGTsxylGccO+Twlbr4xyIQrYqA20rCgmbB4up9tJINIKgJhRLFwdPotMNjJp3SF4WqfF3KcZ
lZort9GFlwru79ZWpba19ftPRzTNvNdpb/Ix3WxZ4yrqzCa2s8j99f5bdelQ/necs/gGymCGoTK1
SDog6jDNVbpvFcibqZraKypgF6dkg/LBzITk8DwgLS2xCtPTnAdUEXcSC4UEzvW1CuSlXYj+Kuoy
bEVMRs4KTL6DeqWSLJV2CfOFnW6xrzvv9dK1u4y79qZa/GtkrItfESWfTeOMf5+3eUK/Qa1T/1vR
beo7c0HQevCwIsNEIbtyfV/cilvhANwz4pXn+bW1ApsYBvpWfoMWeo2bshWvIfcbhLtyJ+q+//Q/
7JBNosiBjwLg/2wnTiE60mImZnJap0JZdnQTWc3DRwf7zNv/ZSjiMxIWIMjnlCxrWUNj2XpyVo/9
XbYsza4NZbgPGucacfvSimFghdI6/6NUvb2S/3kg3A4lecvYLqu2aV91u4q/sPTwHqbaSj+/P6tL
+36L5DeOOAIl5w8uefwQ6GlrJ5ky/AyFunw10C64si8uTogyGFkt4nDk7acTGkwDqsnAi0cVzzjg
7tHGU9Gpm6k20yt306UtCLsEFDNaD+g3nu0IgUvJbIU85KrU4oDWunFTdrL4vDq6OyDTlV65OC4d
aWACTGrTsOEznk6tg4oucCsgQXDndqe0GX3IxDzHIVWPfZ45GV69a/r3+6t26XuyXlRDQSERsZzF
xb40lJrxSNmJqgg/Q/OfMAjX6j6dUFR/f6hLEdl/hjrPSsidi7ZQlFrMMKvmQ57lxlPZBIaK/SmL
kmDwqsc5qIFHct1Fu/cHv7SYvJtImRI7UDI/2zerkrmrDHDam3fQI9nmh9LrzJ1pL+tjbmfXfNgv
HQZAXbAMtkoP+PbTtbRxS0QVdgIW7pqQhVxvPhi9+eeyTpiskd5t3DJuyvPwb0hHQvfJGHZaZNat
FSpMbYqrsk6X9iX7cZOmowwBlOx0LlmKhhPeX+zLVS9gdJZlL0tKxkPn2QencHD1yJCmfn+9Ln5A
gGt0SoA9AZo9HbSwK1uKnjIh0L3iqAZsKKCEXGuuXRqFK5htT0kS1MfZrkgRAHH8vKSxMVcKGAH+
MsuQVvv353LpjBGuolkC+pxUedub/7mE5xUOrjey8SUanV9zWc8xpJ5FxEHh/y8B1UZTgynKy2K9
AcYivl9qn4JGoELvIL2mglkTXmN9XTpNxKLcjA40ZgKQ0xltru4y0yYEIWMYUFp3t0DAq46qKqrb
IGjEldN7qWpMFABiZgMrMObZO0Y7zwR4AYMS22QwmvkaHUsj9x9cY832UwqM31mVd2hXacRD4de4
1bnpcbWXa17yl2ZOp3mz90AijhbS6cyHaZzsMpimHW0l/dNxS5lUQF1wP8OGwhLS/f7newc9s81J
BIdj+ACn480BFht6YLzaHpqbwM2ave+q7uvoLNMVTPWlw0BndINOoKDw1kU9T5cwmuC1ZXMXHUTU
F18mTFSPfz4hRKiIshAOJJA8m5BVlpljzVChVGobcW1JsVuMkOjViP4HLhvUHLhs7JxN/OTsDmm6
KQN5h76X9Ic0ll7axK2Vjp/LZVqudE8u3JG0EOibA9tBxvO84N4XPeWxaJMSyzz/4Mi+jpdSTQdU
0jroDEGY0Ja9JlN44UHdrD1Jn1Dt32wJTvfGmOq8DK1hQnzBkH/ZMnRumm7UidN3xe/F6VaYovlL
lGrnyk65cKHR1gNpSHeb1P+8k66AP9DNgx84Grl9oHP/sx8778aU4kp08mZLUizayI8bW8fdqHqn
M/RHTNPzPKPolpV9svQABRqarh/f35JvzvQ2Cq8bCwc0iWbQ6ShZ0dZU70tGGfV054OseaqxCjkQ
HH7MRuOPNc634RBkgIPOfiF9Ox1OlM7UjYr6WpOF4dEwdbczRldizmo5f3rYaBwSGiBCxQXCm3Ae
hix0MNNmULs2mvWdG1Xrrl9kdY/a1rXAfPtRJwVWhiL2p1GJMO/mJXM6K3MQVVAJ1QJzmDYvCeXF
QecXh6U2opsUhG+Mekt7qyh+x1M0/7GW3zY8OSEiqJDJKDCeDl8h79XkPeCfCsGjPZWy9qOqNm4p
odiuq1saX91yLUh5cw62QWmWbvh9noLzOSuzw1asEu1u8ztKehjph8bA29PJU3F4f49eHIqcG0Ab
hXC2z+n8/JUnt/cctQvWYD320uZu8QnWVRcsVx7bN3cZsyJ4QGuSUvlmynM61OZf5QPuUDszElvL
3kn773ZW6zkWyjVeGmfwXqBlZF/en+GFsw7oaMMLbFkkyNjTYVt+lW4SltrNVoNcwTISXYhm+B++
4zYtkh2eb+DSp6NMWPOS+rJP6nGoj45n2LswD614mES0/x8mtGEEuMIokZ6b2oolMCI3ZUK2GaiP
TsUhpZrmIzf0/jiXtgb1JjCcPHbopp9PaaDUnZWuQuArr/ZhK3/POgKYMkbX+kqXRtrIeYj2MSFq
+acfD53hyKBM0ux8aw1vQkArcSsj82GUnvrTJ4ZNSP+KNQL3sIFGT4cSbBJjCqiMeCqfsHKezGO4
zrylvVvevv/9Llz/NEQgvLMp4MicMy3ZAvmIiHm9E42v27hfSlM+2sR4twUtzDxRQai+//mQNAdA
fG0SwG/68xjEOTkTxAO1n/I99FE3lv28xhbe2cc6DK81yS8d6f+OdxYpzGXKYo7Yg3racpNGDUYi
Z3u5DXXqoNeQZUfVFteUjrYlOn8RKGWw+S1evDc2JTXPtdebbb2zjbreUxM3k5KKyn1Xrh1Cp7Z6
EChSJM7s21dO3tvpwiPd7ENIH2HBB2fTDXKv81XHDVYjNXZbitXZTQOcj1GUwyezmNrbwOaovL+m
bw/HRl6lxECKDI/uXPwusgGutCMCDfzboQ9RG3czeURsoxDxx5cYu5V/KGcgssRwp4dDN0Rm7GUa
reXsvfbjvMSzl1afqi5QVw7HvyL3p6uIECjcEvp2gCygIp+OJT2/NFZmBiJzHXKsJvpQxrXRFN/L
uW5gBGIUnLR9JYZEz1b/CNycx7aAembzVon8u58WiCqELtDYKxff2xeDpJqwkIsC6kt4fnDbsWmr
wvX5DIYjP0mKc4mJ1cqX99f17fVApwlsBMLWlAjQlDr9APhFDmUWEthI04YtnhteTPc4+qwL9c2e
hvBK+/DSpBiQPJ1KAbDpbZv9p1iwLn7ntlQ4d6E/uIcOCnj7AW9y/5q24aVpbQRauJ6ImLypblLf
rlc2Tgv5uEV4bMjKIgZnKuI66sVTr41rFf23+oaweEji0egGG8TWPdu1yDqZlNzYtaHMxO0s5ubJ
bZbmxmd77RfXM4rYnm3jEfaI+zlYUliEiGn1j6mO9PfCj/pdWkTNV1mH/n0/iPB+6KX/260a74tq
Mxc3XSk+lsrKaV+1V8E4b28zfnsMdLfiLDIP5wyQICVldty8g4c71EFsRIX50q52eedgvvkUBYP5
UHuL822xjOhKcnlpqQAubOg0gj9kXk+3xIL+1hyODqH14P7Ws4ieorWt93novnbgf69VFS8NB+QI
+i0dxw3AfDqcU+dRanZ5v1twKvpZG958o3HBQAvCCWNdudeKOxcuzn9FzQJuTYKY85J+XvtuPYxG
h1CHPT5lQ2fFVE/dWxVO10SHLzwMDLVleWQA5F5nh8t0s8EsMMvZ9V43roew1Wpfm+QIdwJw+F3p
9OGuF3l+pbJ/Ye8Ar6GKyS1KTfO8C2NNVBzo1vY7WYr0S+/C1DtC1Ovne89ZQkX9tC++550cjpYC
IXh4/wLb1uvsBifCpEa8NYB4F86KnHWflmHf2N3OnLT+JrWLmHpYzQ+dNWUormnnFU2CGo8Ie8o/
LnVxbfxLs4e3ADSPMiu9tW2//edGi/o1hXjd97tOLMU3hd9GHGR5dtsGhkjCXK6fF6WnG9UE1zoO
F3bW5rpOOsqn52U+SykgEHrWMOt+p0Ij2LX+JJ5tU2T3QBbKl/c/8sWhqMbQxN4qlOcQngFmNH2T
BgmYGgfjahVurIHvJVUOxvv9oS6cT2o9m95MuJVEz1ujjbbg6KO+sdMmdjTH1eimgRfZA+JpDUu1
7+3sWqL7/pAAqE6XMJQObkxIfOKcHNAd9cM0Jxv0fCPJV2N5GHtv/lOeLkp5/3+SoBFOR2wDf5GG
kXaA1dd1J/yOrtCwrA9e4Vy7FC5ObjubdH3/Vb46HWoyeitP3QKh1mJ0vuaRLh/WURlYUy85CKky
8p/fX8BLBwJjEYrZJKHcRGdzU5mvzDVHxDSzdR6nTd3cRmP+K7fz7hkK9HIX9F70hArCNXbPhdiC
UgVI0s2fg+7UWVyMxkHfO3nX7VJd+FAKqy5BXOvPs0RYaVRgNjTQ1ko/u2SXttKOT5q9E6b60dTl
+uhYVgpdcxn273/IC4cO9z5apVS4kOc4L4D2vWpWMZJG+SkOk2jztbtpwisC2dtrqJ8LlyjRD9Oi
lwcl+bxn7y6W3YOqrHad4+g+mS3Z3nca+h/CQEZ/F6Kk9ZqNU31Xu3XxIDUAu/fn+hb7tLWoGJ8C
Fxkxh/90m65hMAb1hk3gh89Y+k4/x5EqXms07rFzKNRYmR/uBfFPXA9+dCRav2ZkeOGkQKckZSUI
4Xd4IysmzWUecqzb3WoqD750pw9TGwFPnvd5FZU378/4wm79t2oJ2ZyjAjbydMLIofdzWjBhxCuy
+7Lxsy+j7vMro1w4jIzyb9HJ9Ei0z96IUltZQMjBnLAQ/j6ahR9HTtU+RoFS9wXGBx+JWRRR33rt
3rm0pQjp4JtzGSB9dR7WzeGSTZ1JEUBY3k3WqXBXS1pJIpfTTZ/3Bj01y97Nq9McgnAuX9//vJcW
E6oxzaytn0YB8/Tz2rIoU+VSE5CWs3LlBN9awooDSra/TSOzr+Rql44q7R7uO8CKhLFniwmSx83q
nEthZdvMcdPX/Z1dF/nTStX/ylF5u6R03RmFjotN3HVOjm3CqJNjixxbNKXLS+Z7aVJhpRGD2vOO
SLernchTGFApv8j739R6O80toyKtdxELAnd6tqZtKnqdCdXvAk9g9FdkXr63tdFx0eIDXsbmYrs3
wTp5+8AYw3ZvBktx7Mc6LQ5Fk7mxObSdjA2/clAINOD8jO40/LjyS27f+jQgBPdLgQIjdCqGhEen
Kx/6Qjb5hJBoN4vl3l63l0gXTayHuUYAKxweVv8jLf1dJNwpi83Z925yp/tjCBsJBjgeJI42Djqt
kNNfA2kJXwmhkb9qHP92MMbvosfKaxnd8mAhg7qX6XqtVvp200PV3tgimz4VRJztz/8Ti4rVbnKR
9rCccKSRe2OdRysu0dE0j6DXUYSMhm6Rx/c/+NtNQezr0qYD1kPX7Dx/A1QWOKUm1dY4kCQ0H0Uy
j376oZeld6V68C9i4XRtA5JTl+uSB5hOyNna6oUjEVVIUaXG4OJk1KbVGvepE9mxpbLpbshRJT/i
D9k2sTOBhUnG2p//XjtjdPaRIxF3MVcvfAx111WJEejx+2R3OFMY4RK+ooarlgPmw2KI+9rsPzRj
iaff+5/r7RqxNh4fDCGJrbN5FqWA7G3SUrIptSzNxJ38IAEVZfwWTVZClxyrz++Pd2F5yE4IIShy
UXc5z85wTubHB0W3C6QrfPQwVfSyInn4ufMmPtuVwd5eToDWyAXp4XDx8n9Od6AqpPSWLsDlvDSb
9rGwndT7PhUT/vVIaFThE6gXb4oN/HiHnVEaOE96lZbpIaBvLg/ltAlVL12pvtr0D/u4aXw7i0Oz
yR5FlVMh12OWUi4x1idHVyP2C5GKvrQKFndMHQ0ThnQKg2e51tnnVa/Kjs0AAfpDKr3sQ5CG+mEK
DVPsmoZ4KG7LjDZyUTrIJYIg7Js9KCMP9+IUbF8yGdrzcC/H9u9mhPm1JLOalvywZrXE7hECrbir
ilI7cdEgXp5E5WzCCUMPLrrH30VIzLJzOR4Gow31/UiEl33rwHviXGAPwkZ7MEL71hFm+uzMhaVu
UCnDE6O2yi6gKOaHf60KEaQ/zq8AQVBqAW1NtYr+w+kKATC1M9unbi2CPIoFvuyJN4oK+eQo2pdL
FuyvbAl+3umRhYGEkvC/gIiNsnA6HoYpvtUD7wYwXGbferdV+wHhped6Qln+/aHeHi1yU3JUdJRI
AMiIT4fCB0C0kDzbnT211TENrew+WPDjJHdc7qGdXEvA/+1xnc6NRh67iotve2nOazvOsDhgn0Dw
LqmHm+lid+tXW+pcHwv+g4facdK/e5R4xY4INhXP5dK4VdJQmFmTwE+j9EsTztMXnuq8iQu6v+m9
23XWz0a1XRvzuLRf9eDK53xuqKNkuVjDJySfSfTbUUy3lSGRjyPbsuekK/zWjAc7jzJU7SLvNegd
8c3DZ/tza3V1Gnt+5al9JcpZxKuW3muXVbpJAMWof2pnqj6Zsja+DyMIOTQlpvA1o/5YxV0u+ls6
t+W6y2vdvQhpmL/AmiPjraJUrnGw1ATs22p8tbWrXxF+8+/KvrB/LSOWJTvfXfO/ie86tbdmPF5i
VWLd+2HNworuiGyDl2ws+1csilbq6EbaV4nqoZbfV4UVflkh2Imnus9ML67Yp+rTqrMpew5Sxx0Q
OOjlWu5sYdbec1qhI55EhF0cPPQC7sowml+dIfOGxHDa8ZvRVXkPM6vLl0PDEUCDE/kgdBmwqix2
GjBZRVUjLV7KYrOddq1UP03oNJmxrlGvi62RGumhoTbxWRuS9LXGN2RI/NRdZKyh/dyvOmqmZz2v
xl4IumBX9vf5Vb4JpxPJ0iXn7ELSONvfE8cMNDCgr9nv1J01ROUDzBAZJN3CH1wZbLsH/ru3t8EC
nlqCF6gvQCNPD9MwwJdYtGdhgGqWyVzq4BCm+hrI5w30betsbL59vExbAc9zToeh/e62sPnMxJJ1
ZuzrUMz3VJrSvSe4d+POjuZPqfD0vT+2PeK5ZehOcRmahkys2mqvIVvxdt1GPJ04YRtOKXzNTSP8
HJuJgqCdz0uA/0RNWPc50KUxghfzog6dcj/3vk4Cj1u3dzcqoNUioyAmr15vUFKRSJzW7TwAJbAN
/N7V0KnXGet3B7zUlAGiEPWU7eyoK4K4V7qTNym2DVS21GDaCYCSIX1RniycfdPbVRanc55a+6Ly
cd3oIVzsrSzVz93YC/52mW1XTlT2cTiFjTgAVFzHBDvJpY61Nwa/JzNv62PkjHm5l0ZkvXBTBPW+
HOboQ2f3819VKtw1bvPUy49tI4ZvXq7Uc6jb6MfoGhzxLO356JPw+znJ/Mb90aoRUGfe9vopLWHU
x6J3LP25G4v1c2or43vRCP8pQFTMhJXWiSmxPIFoaVup4sGIImToirLGH9xt7eZeZtk8PrimDr81
XesuONJ01W2frb1IijVrzYPZhfN3Gn/D7dLNEkBIkVqftRsOXmzoBqnHQjQfaCI1cjeLFXu4NgyL
NNY6bJxE2IF8hArO7qKZtnyGDB/cYR1AeIe+ND2Uqkl1GGOahKPDAKFFH0mtUOAsymW9F2VVAxnH
ECUJ0Nz5i/PAb2gDBrjTpvYEfNoK2yFVGs10aIW7QEwLZ/nJhx9j7cbCa8nJMmwb4y7oCrVLxyp7
FjVRy0cdtt1fmTRRgxY4En6hw1eH8Zza0/caqUkDOORc/zTNfvVvGqSL16QwqvDbnIvOIOLpRZEA
f/C+UaxdPo3lED5lIT6wyWIM0T8rv/ynuVMYOKDB4X8fGktWiWm40RdzXtNs3/tZqnZLvVoBsKHU
RqY3dxR+BpNIh2QJUvFBW3VmJ/MAiyjGuVhIMDnOnMeVv0T9a1OF/c/RKM1lDyJePYEvo+ng5Jb3
UK2tXewi3VZO3LWQfwEmGqaxi/pGHrrKQC+qQwvCOdBbDH7WQ7n8IokP+NGtrZ3htgw9yNlraenf
JBV1t8/Cef3iwVpZvgSOwMIUM3ajT/K6m4yHaem8NgmyUMrdmAf+C/ot+ScNG9K79wq+Xkz+vNHm
uj5HhrT28+rIORIfO2cM8ROru3WQvInD+IA2cxXdecJtpmTMZ3/eb1y7LJ4GWdb7uvX5zbN6GZ3b
up/rb9jh9nPcBoFxzOSAgwA6Ndnf+VynT80UtiXWR8r85gFrDeLKccSLnnBbhuxguzsOBGmhMXn9
s2t4pZ342eL8GrsyGGJXw9SJZ9Ranuws7NiixVh+ElCR7SNCU+V9Maah9xBYKcBIsbjKvMUpw/US
KYvck7Gog9pOPCxmH5yoxXzJmG3O61zIj3W6ldfmYp0/pziopYB6ha/iKi2mMYlmcFezY6uWOMRy
Mchp4JQ9+SRE4iYdc/UBVr7/Q9VT0MXDip1LsrlVdQe0bPQYOx2b6s6VTvEsDFcQljtaBV/7QtjH
aspJojxROUmW+0J/0Kld5i82Br9t0suuKZGmpYUbkxpZ4c4Yxvlj4NhduEOBJhyQdFXzp4DGQ50M
TpYCyhFh2cQ+puZjbM0yLw9GV2cQmsI0W+97d+rKu2p15T9GStp6W0rRLHsMfzLz0IbolyYAmYNo
l/LJ1jicZ4Fb1GJMH/E/3Zi7bl48oU0OksRG06a9g3Lqq/woU9VkcSPWqHochS9+06kIgj1A/sU5
GK5GWCAoF/PHPNHVjVE0mbxdZxXOTzJuYqFmkc5x1ZQdk03I8BlFkipNWpUOYHKCKQDibcuSSqPr
DeadYTSR4CiuzpTIFZrOo822U/xpGH1UmR18GAPL/Uvk0ZTfrEpN/jN0YF0e2ibKqkNdtubLUnjr
smlX1h+CKWNNcAfKsEnJy5VtbZfqVtpe9cPc5GUSHEr1iztWYXbEzbae75ZxrnVsNJX1ulbdwNVs
z9ndiMSnR7/Cbr5Rs3NHxKXq6bVYEDePpzUYBkzgMIqeOofj0sBBaQ+VW4QvY2dh3zJbQ+DtABKv
4b7UAHPiMvdmBu/r8Hc3a68De9DWrxxLc4zxfTHK28lOzX+ku7bqbtWV9YKrhqP3sm/8uwKFPXVU
ZdmHfKSm+5j6PtGj2dn++jJ1UtwbhKhEFinLInq0tG8DocrPRm6YPQ9iX/3I57GxY9Uq82/4tbkd
p+kyPHYp23w3zeh73SFq1Tcg/10vP3hZFN3487hCWMKttov70sQsJ5uGMUoUwJ+druGP7MDFde59
lHUDkvJSzS0Ir7bYymPR8lc7bnjwyBqGr+ADhg9lZi28lV2HvmOhU1PdNZbixcRpLP9OlOliPG9F
TZMEI2Dluykfszxx8QNXRAeWcUeY6kGjYtev5RELvqaAsJtrF33ApUFh3pPKxQJ6cF67ruUuzFed
/wS3K+zYaN1S3LY6X+y4ccayfk7bHj5gs452+yhD5E2+rITe+UNDRyWL6a6sEcaXtdzAL5n1oVit
Kop9p0r1fuFYj4kYrdIhMxhCeLzlunSxPy40f/RkN3ugaGtPtaPvl5vUlUu2K4OmejVLKdO4aBv1
oTeK4Id2K/6a9IWHHtDcLR+UhB2RCMFNdVB5JKMYHIH8mhtSvdBRdof9WFjBfEBPdbKxrCkGmfA4
pYjeBwqySONPtkxIxbtDqcRCEULYmRmP4czu6HpvelRWu46geGZrerCsmUxxo5+4iafa9COm3ZTN
LaHSj4Zh6ToRIGp+zEJGzm5szRQdeGWyTIvZdU9W25jBccq7vLtTHuSJr3meE8kFUntfe2kaQ4K3
ZfAtXKl+7GyvRDsqsHWKTlteike03tMwpoisp0cvc3UQr/xUIIIN9YtosI0ynhvbofAhcsNddroJ
J54VZUqSd9w7eUc7Zp6Iyp4/BHqR2H6lpv9MYhXe9raejKRmtJ+4lwpkjwUKHb1TOuXBlTYnsc2x
gD4WQtv5waRyHsWp6tJ/gBBA9iWEM7NPQaF6Z698R32VVlBWsXRH6yHyx5VlqSznNaPAgLyZURg3
SBIZ4U7bo+scucvbh2ATSYjbxTJ/UTDw8KecNaHAFKa7di4Jm0wnzdKbOZxyM5Gtl3WJ8iZP7tCu
sH7CUDC21RAWW9dyil2ROqE+oOlSf3QaT+AhutiLip0ob9fYhrH+F4xY3o2id0FHWyXuB7wSdZMl
jZDhdO9wQcn7cJRzw1nuwZogoRfcrRVI7HiZ2i49cCS7Nqn8YX10695Od6EW5RLngOR4VwO3o7AB
wGxKylGr7KihKWt4GC29ctl7+AgLHY43uW1YwcFqavurV1MGPiL4wyFoZ9N8IT3Ki31g1WH0kBV4
MsZmWk6PpeMVxW1p8VjFyslRn03pmnwy+84a9plezR94rnXmIRV21x1lObVfA3OmlUQOIZ69iUQq
aTOE4GIvmhTGqv1Cy2AwMVoSfh3eEVk7kNEplVZHCleGv2vpmJqItTuc3TrjvTnQrzGy2N/E2jD4
wTObZK7x8VZs7T52yTmoVuGH0BHkQUJJsNboP6eRx/fpkRj61gsUftic2RImps5CAsra+6vo7aFN
SlyCuIzY1jzllE8eurlFO603e0BaNs0qgypF0C5xYQ/9Yz2XxRi3VbCC0fP7UiVhx75N/LX0nIMr
qCDEqReBGGftIW4xshhjNSn9dy9zv+bqqaJX6evQIoLs3DSP8c3x5TH1JwB/dHZUSBiGH2dcAGv+
QuDsEqi5/hjG7SScf1SNflhs4x/VH0KjVfJzWM8RHQ0U0YLY88Z5hMGnKO1XUVDudeAU/b4BW+jF
ANGVSipoPFxnUYT9SLcaVX8s89y9W51ZMg30pqxj5RWVmziNxLZodepiTWAmzlbi1Hp89tZsQmUO
vMWvVgi/JCPIg4euaXFOseuwDngCkaR6TrnGv2tv4AWR7Ms1LlZ/feBmIKx2mo7QBIdf+1ddZOlL
V9Xtt36tjOrBKcbFQF3Om/dT5iBdszFW0kRGQfHFHJelTcZ0sn26SmF0L8XivbAilpN0pAEHOBd2
sM/rcX4VcgHnUoBYsxJ3TB2ZzJ4I7m0EV3wOl6kevWnhce/ysM7hstEZ3aWT75YEW8rYyc7QSxL1
nf/b91YvuvfUkL1mGI+w+nqcv2lNd2pXDEb3s3EjylrW6Aa3VuOOdhL2jvM8O9ZSU/Fry4e5MHvA
nEWmPruNIMwchWSZpwHzpMRv8aCPO8euhqSeVXpvtwjRJRMEU2eXz1lVJqNos08jOsIteNcOyEse
5Tq7V5meUnxr/KmJqWsOn7pm9tb92Gduc4e2vPcrC3K32OWDIh33rUkENwtEsGbX5/4wxV0RGV/W
2u6axKNg2BztSumDb+sqjL3ah0bL36AqVplkAv1YNTpeg3GWHLtI5Tu2p/s3T1/6IzMk4lHdrDT2
4dznFWbv6fDTawdtPwbVWvZ7Jxr8XzNdEpxDV1WSSROYxn0hc7mbIknFrcAZSPFsV/yV1cGW7Kdl
rPY/uhVsY1PKTZgADkBPhyRffi1pnt0JOfgKeRJkYJKRmtjXznCBV+IGX3HQzNrgYuy1+wWRyPB3
YC0evhbWEGY7Oc598DBV7vBSaz/7jlibX+7y0eyLmMJtv96teO39wgtguA2JuCKcR83yH8sszIn3
N6emoLtQf7LVlIubwYRsdxOmzsQBNOf6dzXZk9wXBGYFhdDa+TbX5fhDB7IxEixOTEURpooowpRT
N99sXDcVe2p129gb3bFNdKiDF6Pz6JKgGO0ChE0Rs+PlTpuHkriKy6Xp7CMsFtxY61Y4QYwGUf67
xFIgi2EJoMtdgz7/OWBs9LeWfVaQRhV1uQM0pQvSGclb9H+cnVd33Eiapv/KnLpHL7yZM90XQCIN
vZUo3eBQpATvAybw6/eBunZGTPEwV1N3qiQZiUCYz7yG5Y//3DytGU8yJ2O7ISorMuqKQ3s1OZHJ
28AIj5qQM+q0E5jyaau2o/WkNiNNAtvLRuEbae3UfsY5U4XdrFo/WtsmnxjTteWJ5gJ5d5YCa2Z9
8b3Lqp8+QTyJ0yAmgLpX5kYRBAazsm9p0Lg+nLeOy3kc6M7miFb4RjThadsT4n9qy9bAun0eh1el
iturok3jlzKvo8+zTNOvA9EytWpUoB9bDbnmIKri5VHiYc7zmQpM1sJ0pW+gGxIHegE20CE3S30t
jfXLTpLjQDaFthnKWYt3I57Ld52sxZ10U8otfdNnOcl0y7XYUYAeNkrCDRGg7N08uA4Wq74Z1/Mt
5zU1hGxWpudGMesfbTPVDXSl1OmCcTHzyl+Q7rtF0Mu4j4YoP5ANDD+sRRh3CTvo+9zUAPcKSic1
Kb9K6dZLDBt6UKvakx+hoev6KjkovvamdB9bMsPRTyg3PGtaXycbUC1OFraNTfiN3nFPZ8Vauhvq
OLIgthbZGNCUqbpbixQ0PTO8BW5AppfGly6xq5tB18dnL2/y8aKVhTvRmpwcy1dbO24u0i5xq5D0
Gz3s2ZvqTdq3Xn3IaR28ppT6zz28IKszRCWdW7TKVoE52o5NgPSX24fEL+XVMjfjbZSP2TdY5tM5
2ndREpgiMR5TkXvSr6qKAvJAK/fS6Zc6xr3JRjoYAFfe+/1QWZ/Lch4iTlCbI2eS9ngtvYLqv2Yq
VbfnKG62wiwTxbf1iMN85j6jRabWihqUnNm3i8a1DbNZUJsEGWeh6aRqNYXSLK7uNLsb5BnVDfN+
IVqm6zeSOIezhrOSH1OCX6g4FvNhLKmZBkWq9iyfTqGMX5ZY4PlZJystSFzFK0IpjLkMuqFA90wH
ZHdddAaKX7Hn5e6VSQvxR4Ej7mPdkvCyF9dIOpG5e4ijcsoI2dR2umU3UBzCLme46uOs6tCitqcy
KDx0coM874xHy6zpXgi8Itb+i1JpF21iiLOEQkbkTx103Z3s4qUNo7RyClJqbabpOS3NyyTn9BFQ
bt1u0OOLs02UWDgJ9N1gEhjQR/8RTdN8IdtxeS1yztRLtdYmdijcb7EjFB7PrKXW+71sC2VvSzUe
aAzZQ7QtJ8+rdj3xy7M3z+SyRrPo2yYy2nJTmm12i4+scm06jXnf00tN/aG1nVsYy+WXNp2UNKxy
x2r8XtH5k7PElzywrbEiNZzMiFLALLk6OvJGKzA4yPNNIqIVa9yL1VWykuIrQW32ORlcLkYnUpqY
/e/SxwL6O+ypjSwDHFeDDZLnGdmWI9UGGUa1QiAjbwkUPCt9iYzR6n0xAtBCV2yOCzoyel/6cNbr
2QdKrz8Snth3ZjE7fTAU7nwW143m+Y1jKYdilMI8n+x2OoxDOaT7QurJY7lQSLpI0HlstzESvSmx
/kiKYhqN9WUhcUlCi0I310NGwWovHDfyAknr/xE5ICvbwj6rrc1QyDbZ0sSNb0FMFfiqaBSnmlrz
dmDnhy9WOzuX3azkNNlyXT0A7s9qOkwdGyEvvfxCo58lfH3M0xtF17jbu2Hss7ASVfQcg/9r/Hbs
OBhxcoYT5haLWfoq4dR9JEeNMLKochHaY9R/XooKDGzXcGr4SC52jxAXlZeMBfAiQDYkAT2L6MnM
9ey6F0QQwTK1Bv1xRF12w9JR40vSphrC0Y57XA/HsjgrqkGJt5raK2cuB58dopBiVpt+dKJqn/fF
UgY25gml36Q2F0/fW9qFaYrBCVEnIPYiC4bCrDtpsvU6Pa6DpGu1w0Khnv5C3Q67jM6Y5Q/JTOhq
l+PkUmRvRUX9zDa5qDltiTZi0H0ex4+kWexll05Xe4RH1qK/lmAyvtUmwq9BrhUaMYFA0cKLUw7t
AeX4gPZb7/heHXXXU7mk2oadUTqoeEis/kxvkObO1go1JolIls/CsCY1yKVdGxuhUPMhmtCGLHDq
2fxcF2C6zxPsl3S/A2hyKRXpaUHrldr1uKxpJoePlZyDNa0fIqxBVlCJrt1ZBNK9T0uNtm5Z5Gfj
GvQEiI4p906LkAhCWZl+XZDtVLeRXi6vJaAH91Cb1fDopml8Y7fuNo0btd/PipZ0VNs7nbqAKXMT
uIHnXQpPTk+0LNxmD0eqPCchal+VIuZk6Gad38hLRb9ZpqX3iC1HAVaUdOC64SrCqcpdqN1GBBEU
dRyzIOXMjSRcE+5xEze5u+FgjT2KN9PQ7mvAXlSPmgLxC4knfHHRFUbCYWlO2ZU0o/lLy7V9Z/By
UrBcQv9RuwlR76qWdyEMr553PGN9bWZZQxibzRGVcoPP1BTzLB8pYuBfS+EVpKMOy9zH6sKEF1uO
YAJ5sbfGFFHbp7RvfbVnhwhC76L0BWwEck8C5c/Md5Do8C5p8FL0cyuTAhX+Npa6kaxQi+O7UCA0
gTPprpMqLlW/ttEMw/ndFnFYV614MD08w84HGht9KAvoc6TDNuzcxl4aHENwxn4GTZI3W6mQY4fq
lHHZ6F0SLzuPovsj9GhjLRtbZC5ypOW0l1StBl/0OVyypNNiMEaxU5p+nrkuNSCFu4PrwY6r0Fwq
RAUJ+rRimy45UMhQdQdPbX2jnaS1HQ1RKlcltWeMbZu8EM33Jum65GqO3Qnvgj7NCXjwsTQkp2iq
53pYFLMCAGWMgXR2V0NKe1oGdm+0w2M7tO2yI4BpYsXPIgNskzcD3kSYTk+Ue13MposavZ4DkfLj
0uYcDJ1Wq7I7I7bbMfJV5EULJERlazyYmO9WV22lzCqFGC4dc9+rNrQqbDV1ouxKVZTPalJO5SGb
p9ZZf69M6/MEvYrh3tbGhVBLcRe3/o7BqE5oQ9uPMUTjwWTwh1qxJtL8ZVK1vTXn+nTZmhTR6Rg0
Y/UDIetxqQPaySRi266x4+hH5C0O/tFm1hfnfYU97ucc5xXx6mrcnVeqW0d2MCM8P3+i3dKpD+Vo
EwsFkWeX2pdaaSzV3hYFPcJ9pI0jTeXeWNzlVZnrFdBDOJc8V0Bn8x3DdHQT49WOW3IlYk7wZJiK
yubWnFinXpYjKYxAvtuZPVJPNQAFKjB0VFB5yJkdyBP94Fj70VoG5b609JpIY5gai2ZJNHYSiLNQ
W7aUBe7C/Wa3hu18G2w3d8QupU8aJ74521nTU4FKzfKpcbllXj1S1yic3dlIz+c0LcS1JVvEsQN4
b0h+J84cOedzB2VjlxrjWF6oZOjmzsVhYwoLSufLrd3w/WtfdWkVIOGPg99rnMZz8WAnqjJ/jeTM
tUGvRHr7jvXNo9la7u0oiw/jQRMjV2ai6rRSKK9N3ZlUBkSd7d7Jx31fTniJiKpIJ67Koc+uAEQl
7baenKE+6xZ1ycLRKo38K8oeUUue27tdSNXTVPcdUJPFzyq5aBtDkaVDL4NiSyAts3KfcnbMHZqA
2XzRS4tsZlG5X0MxC2QR0HuWX4Z4Tr5386J1B5tDIN/MZh59UeKuVv1YGadHVDZjfTurXn6X1qUx
+LDnC0yWuP7MEBWzvP4a93nkkGsZ3ryPG34o4N6Q0SFmu7wOVptZGxWss9wBzNQeISBRY7Ko2Xv+
4FGH8yHVKDd0UuNik7vZ8lW2Tn0HH1p7kG6sOiRMfRr2bZJWNBGIEf2khW7r00JJLity7xsX9Q6A
zGZfWn5kR8lX0ce9FoxWJ0a/bBr5VOqLnAhkR1XdaIPevkhEyZ+mIZ/PFIL9AlhMbR+GHsF7kjQ7
VAz2BSaX+cHIshbMgFguaAONRVjHo3les3smf9EH2jeNjDDoNdMpvygcTDIn0gbSSKNpSn9M9AaP
ABrjdOYpAn0rF21+aOrGoXzqFGO1aQvg7ZslofN7l3EiPqhK11OTRsMUcwjLSSR9DQMQQqHZgD4S
ZvchbS1A03k9dk/gjty7KC+1fBtXkePc1Th/f24xtASwY87Wq1ePuaQYY/VyE0mrrAJrmvOwi715
1XbIHZSaEQ0rgmnGBfeiF9qEXEfRlodRnZL9BJi5vrSgMqWk1BbXt9dV1DKQk6Nfg9gktZ9JV5ML
SOtWETRDlMXUnnv8e7n4KxqfbeSYfms53dc25m4KZ1mC58hI3bmNcw/n22GJ5J6yVmxuercvk3PQ
VEqJs2FaFmEaLcPjAkygD0kj5bfS1pIXhOxd158Saz4vEX4at7Jt06+dmIAru0mS3YjGTGld6m4N
blEugi6L0Ltz8iXSV2T4vcuV3hAHWmknIgDpQx+G5irdXjFWOB80Jb6rPoajPZfVWJiK30aLuE8S
MmMfLy7E8x0inW5jznK+EZkxNkzJbKl+wgm0+HHnFJx4mgfgKh57jnPPQ1p9p1HS/ExjH+TDmCNK
HbAsKVxnS9qcxzMhVjhC3Rk53FZTQmtJ2y95a5gPqjdHhc+xz7rReyn0C6XputRX6QQ9xXFvF+R4
PZDuuu8yd8th5CZbzFST7aA2yhA4NK+0baF5/a3Vx8uK/bP0yzru7BukdZB5LWsOcV9ZcleGSSrl
TQo0995I27Y87zy7TsLIHLM4aAEdiDCyotil10OQsXU7uuJrCYGy/mgNcUMtU7ParaaXWbkdGtOj
/kMCSBFWzGMwSG34WnH3mkGhoYPzGYpFtWxaFewbdbfEiUM18VJU0h2jP6eTIusnLVvcNFxMxX12
6t41grat5jFkc6OekJVVib/73HvmoVVrcTnOuFwFKCFRZXfLsjrTa4USdqKRyW0JEPRPrTV23zlD
aW7lqboWi6hsq6Sfs+YGXYYZ9GOWdcs+A0pRUINVaM0CD8ofu6SzHrQZYeJzjfvudik1m3jgY5Dm
b7gy0OLIKrmoHqnEdMeiR1Uh5EBQRR22ybptOSfWYcxOjnJMhUXkF7kjFMBRpvPQPDpCwpOktHa5
VG7QNNSgnYK3b9Ua2KccTMcsjThIUSM/8Wi/4fPWQX/CQWFkUlFcP/8Ffj/EGjdRhCy1icvwOTrJ
9X2NxcCupIX/50PhmgxYF/UobpVjwhYKPFoh88YJGg1cgeGmYhfb+bBLtLY6oVVyjKpd9ZJXl/af
phAo0R0h9JKpqdh2oxtEWVP5eYRbQu6U6U5mme03w3KKxPDOAlkBw3hSI28GMvDo1eWyWSIgJB74
AakfimWcDy4H6YkJfO+pQDTDadWRP/1tgUBmL518zrwACB+GsxMIcCPS8k0xWrR9s846Aad8Z21o
+LjrBPKwJejUv10bOgjxvofhH3h2+y011XwTT2DM06E+JQ/y3vwhjYhaFQc7q/EIJQpFrm1aJfUC
KiDdPYAA57Ig7D0xf78R9tZl4cHTY0XY6Csc83Qbq7PIDnlNiqCIX+eNfglqQ9t0rmJcj607BlmR
RHetPWuf6CwOoQ5G5v6PzxI4PmC+Te5MGDXrVPyy4UjtHGgaTGrfAZ0PUg+oCigtw/hTrxINcte6
JF0qd7g/G0cD6VkCkxvDU1i6zmj6WAyAJ5vURv+8TM0p2c7fl4qBCCQ9LaC3nJPe0YZTEq2ndUIK
ryT5/I3+Cc1NiSbCE0S79JTH9DFhY32ylatrG6vsPE/4dgqzrNci2hwUvBzNvWyc6rmlS70lqnmh
+lUG8CvMTR6P0wkqz+8HNOOuCh3svxXSfDSuPbudQkDPfrBGa9tg1xW0g+lsS69pNkpsy0DVSm37
8Xp592FxLGbNADaGgPP2YQGTzGab01cSFDPgsgN1B+MntzOGg74w8zbUtRYkKeL+f7z9edzVSGTl
1zowgN6OXJktBkHl7AWRsZSfCqWs7qRRUEqd5qm8/vgpfz8AoPCieLzef9xHx8IxqdFnzdh6jFXF
7k6dZLvTFvoIH4/y3iq1yGihFrH/tWP1AdLyiDKqwwE6Wx2M4Zq+1VCV5xJ8/Ikb6L21YukwvyCT
Omsv6O3kLbnXtw4KTIEHWutqFjK6MsH+fNHQY1DDpTKjyScIyKzw40d8byLRv8MFDUdFaLTrFPxy
vCiZSv1zILNdJr38WuixVW4KTxjT5uNxjqmy6x6EWOlA6LTQHjOO7oZe0fA+kLYHlQCqIBKw7LhM
aBs6EtAnATBgPjNYrx0gyKvJcP/UqnIdnmPccuhcoot6bP0+jDrtWZrLQYRIdmAi1u5nuoPh3JSh
baiKUwp8760cNBtXLVaDuv2xvmaCCEcmobEG7qCOWzxgbiNMgzb4o7knLqlTIx1NLAqiSypbJja2
ayssSg3DhyyPNmXbmIeP3+G7Q60erTqyFciNHW1wyllR3EWmF5hKan5DqAIndCNtPjVpcsqj/PfQ
ZbXW/p+hji4jAgx7oNHkBWPiIVat4ycaUz8L8fi2AGTiLfnxox2fmrpF4LIqOqg/FZ6to/FIbhBz
G/IhnJRJ28E+moFmSW+br94BhjGPWyemhGPIoj9xkh1P6s+REQaCU7jeusfcxUwf4DTq+hC6fe7+
KOvaO+R0fxHG1+oTe/C9oVBMVDmbURu0zKMzxkZ4v5BCHSDNju4PIPVmAC3iQYydcipNOH5/61NB
F1v1gVc3huP9VhRDp6cxKFbFmC/puGifunLqfJoT9l3hFqdYccenJ8Ot5FyUYsAsInh59GSaGDA+
cb0xnJUUjKTt7qyfpAk4FDRN65rvQffuxJs7PtLWQTlOiMvMNdHzjoLQ1Bpb4dQgM12anKtjTr4f
kSJ57OAKb4k4rJAiT32WDK37nMh5uv/jJUtIw1skPTJ45qONP8Y00TpZirCUndiJfFvXd0YZDzdl
4lohrdYayEh96qHfWUMw8z2kzTx0D2FNvb0vxoFgnkFEmHcZfRpbV5aACNX+EXcpWIKPH/G917qy
8U13FcBlMb0drB0AhhCbCYhSRhp4pT1d1V3S30SaTLaiBWymNLV64rVq76xdKFPItCI/iLnHsVJ5
kTqxGueNAIne6Vc6ZVu6Lq4tvhWi9vbtOE0PTrLkZ5no9VsyvOIzRWEjbGHstvjf0CqLvDKlMgVd
I4zqyPA1zMVPRdDvfksQaquAIBjT4yU/k6TjKp0BSlYh6LXCXXxWibXvCqXfd7ZVvHz8Lt5b7Q5U
FwjpYBfU4+gOsmdVGvY0hAaoaAUMolJEoQGiCbDMXJ3jpZpuYC9F53la9PsIzYtx+/E3+Kn68Ctr
bd1wxEY2TveIIgOheLscOoqc+upgFOaNXZ5Tdiu3Dv7neydO803TyyWoe2Fd9urShFZRA+PmDYft
MOS0UgA4ffx13lucWM24xNmIRZjHUjwA+OOo1mkxL1NSnpdSyNtRhVyhJNa3vIkdekxze2Jtvjcm
kg/EvojEclsdXVNToaqLMsUihBmUBabUx7UVJZzbTLpj7tO8o5pQRqZz4uZ4d1zMAlalSmAJx45o
Gl3wJaHMhnm5YdM/ENUqHDvgQ0o3JYE2q6jJNstb88Qrf3dcxA3XUw4i9/Ebr0Uyp4NViVDVC2Pv
ZLltAysW2XkE63sz1lKjKQKZ7MS5s07j8UJja3GFIYiNgOO6F34JiifgvYNuwPRAMHN8TNO53+iD
bT1+vIDe2VEY+0AbZwOjF3msIwCWtLCEt/Sh3dVZ6KE6dIAWAIiij39AWx6DXp/1gNDAQM9/MA4f
j/7O1MLWVDHwNDVQe8dxB3GC7HItYSkVmX2e2aDmXTyZdkSofSgqHf2Atj8lmPPOocWgVFOIClYW
+9H65SZDadbjzhoGesgop3A7S4rquROlgWNN45/vUaSO9PWSxnVZPb4j3X4VXLZdEZqFVM57u+9u
E5C99VaFG5kGaiHirfQcefPnc0vmT0jHxOpYMb9dPwLGhAWaXoTKsIidrLVyL6xGDWHZujc6eHUI
gp28/V8MalLe0JFGWWPnt4M2ZZ+qhcXNbOdJfT6b1L0711Je4qaZd2qlX2GsK/MTO+WdcIAwgCWs
M486CvxvB5VR5tiFGYmwjsqeIrcx3As8Ngvuhw4K6sdP+E6QjrEFbGpWLYMdJ/2jAEE4jBMBl4Rb
bEAfO7OmxbhX6GP6AvZ2YKDRvRX50j19PPJv5qNcPTRCcZBdhbNWy9u3z6lWC1e89MATUSmgPyHb
q5Ym5A8IGHKbNAb2qEbTWS9uEzVw18EoA+ZQdPWswPj7kW4MgER9qpINqCb4Ah9/u/d2FfcyG4si
JUnE0UuwxklVOLm5F13Aai5e6ZCHYvuSzrjqR/H4p8p+PyeD2jUVWGIyvDLeToZMXM1pW1KWZKBm
bQnUC3SKk7tUF/qfXwCrPjC4UWtVLz42w6FXZPQJfLAwAmO+I+T9VLHLdxww5C5eZ117epmHfz6d
GOKie4eEPv47RxsJSlttA+IeQqusqRVo1XA9pZUMvQhgiYnX293H4713EqOx53oGwZyLC9Tb6XQr
Fd9NWY3haEbqfk4GDQ59Lx5hP2poT5fRlV3X+am6wXuLBiFTfFyQvFxVE9+OOqaJN8VwCsJqsIzA
9lqQZUWqbAAGKqskgXHiTb5zUhgghE2D94kZyPF4jcsJTNt5Ci0Z55eNlXafO92UO+pp+ZePJ/Sd
R6NSjhQcz0fJ114//+X6thZqncuSTbQhgV86butAI7YhICoD4G+k4pcTYdk7A5qwrLnE6fWt2n5v
B6xqEwYKZIkwb+NoW9nT99JM9T1WaQ3qR3VzYoG+M5XIaaLrS4cXTYnjtIhG+kDfV53CnkMrBNmX
78A1mKDL7VPi4T9V3Y5CoTUOwgENmS+qyUcHn50AHbPTeQ5Flsi9ZaBa0KbKcJsNmbaxJ9GTfqrV
TTr06lnfwK+xem+5Vqch/pqihP0NVreJwoHR7cfVkMUxrOg+jrrhyiXpO2M9ZPsKEss+jnNxSp7s
vYQBngJJKkVH63eTq0UzsNAE/xZaXV8DEYogYln6bJ1jUVd9rkFyEMXKOX7yuI8PdZuiOwJUSPku
jDqFFIIgQL/5eG2+c4fRDaBNphHrODSw3i4VVakRRu1YKpotFMBGpbuqL42osoDoajQz3y+K10Ou
rI0TCdx7I1Obp5BNLwKlouNjxhrwg0/iOcxU5xXDCZOAfRFXMMqtUBN68dnux9Sfem84EWm+s1xp
gdBXImVjuer620eOYX9VotHmEFH0BHiZnft4BBqh1Y6nbLjfOUpR2V7HoRaOvsnRMxqiiA2uwxnN
hmgF55tTuQOpM9PDnQE3yqXbO60+nnjAd7b/etJgQUFgoOrHNXSpWUOX1xDbG4nCiQoiFqw2ch37
ZZorTgCkPZrg42X025yymgkwrbU3QTnvOEOh9V9rsztIdl/aX/VaUu302px2QCn/tC+oMxQLFoUK
ohj3Nz+6JitGO3PQwVhBl2dw71I/H11wRlS0TwQy7z0VSlMGb9BFtOb4tq+0RmaurcgQKjAV+rIz
h8ACtJIAU5qK8OMpXK/xNycbIoIUJlFJp8AK8PZoJ7rQZEDCIpuQApe+AoFNq39ZagRYPh7nnYfi
7CHh0Zk//vPeLn8tRvQgbg0ZFiM6CCacL/gv+PzGXt0+fzzUb8t/1UW0CY05sUk9fmpb/nLx2bmH
BMFaMIe22u7F0DdhD7tyIwZFbil9y8+qVkzbjwd97/kozxmrnCyZwLEZVoJGHmRVDdAR8DV0M/T0
rpLU7BwBOPZ/M5SBBcH6cMRKb6fShvemgVpc8U0Cl1qrB7WE/hyQeM/5dz/u/7zM/xl/r2/+vRD6
f/0X/36pG4nEVyKO/vmv6+Z7dS+679/F5XPzX+uv/vePvv3Ff12mL13d1z/E8U+9+SX+/t/jb57F
85t/QIGAF3Q7fO/k3fce5s7PAfim60/+/374H99//hXE1r//86+XeqjE+tfitK7++vujw+s//yKJ
+WXW17//94dXzyW/d/lcrHKk//5T//3z3597wa+a/2B9cXuQ0qo/S0F//cf0/e9PVkU6Llqa+aTc
66up6k4k//zLsP9B5YbN7HAsqxyTHMp9Pfz8yPoHvbi1rIdUnIM7nPvX/3vuN2/of97Yf6AddFOn
lej/+RdDvd3SoE4w7CYAWxEMFsWbo/WhTjEcihzaHyACP3WdUJ/MzYB4bGUPt1UzBql8FhBoteJ5
SdCAehzqndAzyNnJrTpkOyNrgjm7KEUe9v39BFCwppaqfiLI3Bu56qelFsZ4o3RZsYmWvavdLjri
aNbT0lzaaQZfWfhT86DPO6EhX4Q2xwu8OU8JNdhZj/Z8qxY7p3uoISuNTpDM1UHEgOEbv0bAhkox
ko37pS12drOzozhAufGs5n85hbqxU+iiaFejDqS2BLHd9wKga2dRgOtvmhg2qPndrG9satVp292P
FXoCzQ9kagH7PklwrDhqfEMl5Fqo8qAYhW/mwPTjfWcZlxDytyktoLl8cvNvxIFBWseBk9roT+k+
ge1Gi4J68sJOGsiNv+hNc1Fb92qk75LxeTbqT5Ybh3M0ba1VY9mY6n0ZffLGaqs18bask3NYxiHS
Rltt1g5KPTKJYjtp47ambi6UFOkD/J9rudHmH2AFdmMC1+lWpl/N9vCTxVQDcj5PYMpZjgJ4EwnW
7qpM28Dw4jBC0Gla9Rt8LO8J7/aF+l1bXtzlAZaYZg+B6IxQKwcqTd9gcvgiTm+8KHkAWhnmzt7q
4rDL853ao33pPKnpcpAKRNlmChVAo9DML6OxB+m4i4BQJlnQc6B6VRHEC2E3Uj8zN25qtoGOmEBu
aMGQGDsJ1baxh7BrxtCZmysDBlivbzQEQtRiCpOk9ydFDzT0g5P2uSriQMlYOqkZqOfTmJylSb/L
EAjpB0SfZHreEFcs9b0BPD17rUxiRoCcFfq+pjjMrul33Vd1Tjd6XQSgvvwi6wKlsnm/xm6GH043
IKycOLABDVX8KQO9Q7vfKbW6QWRlZ07OBXylc9T8/Coyg6ZKd4t73QhYcE4Yw9SqcEmJ7U/j+AWK
tV8Wl0Uf8aB8B3bCOmJsfdWGAS4AONTqS04c3aPBqBqHLH1x5ilsOrkZjXnTstvcBj4MgDRomv4C
kFhGqDmZyrZvkTlIl32VCNooE98+DsBaQzKfN5UBHTfdV+UU+3MlN0UFNRFUSztrUOvmjenoQeHc
2B0PjpuZdt/k83UZnQjef9YLf4kZ/n3ArKZUSGKCcHPWu/CXCxYzOh3uTzr4evEjnTZOXz7mE+8y
KrfQbhb9JoaD5qFys3TuBXzEg3TKUBuTsFmwj46mXV1EW7I0qC/aFqIpEepNGUG5g4LuKSvS8Vs1
3y2Fv7gb8T1ZFV34Ha0NNMSvTVls1Ho7ZRT2coRIxvM6uVvgGDhKUOoJMpcaEjkE18ZXmVIBwndc
/eQpdaizm+0xCUaXPd767nJhm68JNDzUMOEvQLGqN0V/yJJnyB09MkdjvlOmh4IvUbm4Nli2b9vX
fXJXChlY8+6X6+XvY/zXY/sniuajST1K1wdHwrQ2mdSleFRFfmMidJdADl/mHFb3V0lBrVKfUCtZ
3J0muxB7ghPv1Xjv4qAyQTNnbY1zS719r9WoKO7U5wMyRE5o2JkvkwCr4ri/KaD0298Wwy/7YEE4
1iKNcCGe3Zn2oVKeWucwR2EOB4xzSf+EjBC7XpEHckxwSYW3yW0g3va+QUlFGf6s7LCuRiJllbW4
fnOg8G+/tcaKSTWvGPzO+4bFFW4idrA4FzJfTszPUer490DQcCjerMnr8RuKh2JQp5KKPf2IYgN0
HmawC9HG3cftqbGco3SKCi9BAhU8j1YBPf1jxOPkqrMC7AKJGeXCrew7XFUPaT/tEYHbjxDEK3PZ
QKb0QQU/TQ1US8vYadYhrynYwYZDVgaIvagWgLwye3R71dfyYgvJedVG+AxPdoNGRpAo5KFquS+q
+j5DG3hC1YfNO6XiFam1kPMfseP2gHJDoK6n+dD4TXw19S+ame6EJW9g6/TudIlO6dl8baq3CCCH
ho68l7ztEiQVNGvj2T8kxbUO3FHMxlTwd3Gzzh/R71EXoF5R83UsjUOtzhdzgTCexlFC8up0xV6P
PxW2yxmL4WoXowig7GMULpcfpXIT5/1Zl+zc3glYFXDd5o0Yr7TR1+uerqO+SQH9pVyISDAGInpQ
i0OKtq4l9k6F+afkVG+2Exx0Dcg4gpy+82WMu+3UfFasT+s1jJbjjmQhMW3IHxLM1LJH6SsYzfvG
kQH9MHSgLqd5pVC/aupFjkqovcDNUR5kllLPeJVueaaWoZ1ZZ3JARN/74Wqv6LdCOAyVNg2m6nnI
0yCB6qTdZeX1KPaDesjF3cjNAVuZV/85zgnx2583QFl/FoO3aV0LxCRsE4Rfev1igi6V5YEi0Xuh
5F242NImcrcYcmMnDVI3TmgStOEKlcfzpsdKFjgEyvxTYPYXrany6B75ChKHi3EQS/ngFmKXxNAw
kWzbmLiXFo65n8100yO2lcF85OGNvPG9n/LCA0vqRW/Z94V2vmhhjVSMl+ICsYvRO8wibefIlyzB
dY6Ax2CfoMeLaKoRDF1gxRcFNNTaTEKT2IzhqsQOEe05ZJAEve5T7ixnk32m97vK2PUr5glOeWR/
0qI4HKGuOvaNGEyOcme/XqkGhJdyzjYNgcwqVgBdH10RGyD2lZW+IgZxC2EoKiz2jIAi6W3VfFvq
T66G/gHKU80Q743Z3MWWC+PqfHQJHmVyZmXewYJgPLn2/6XuzHYj17Lt+kX7mH3zyi4YnSJCXUp6
ISRlin3f8+vviKpbsE8ZNnwBP9hAFipPppRiRJB7r73WnGNiMsV/AZkIEoZT9Y+boj8V6sukT2cV
14hmGge5AQT1YuGfhXSIfFh1+8TPLAxhWP3K6DHnlVjimkSyK4+3dvyeF5XqCxQlOBhNOkwrJQHQ
otkMZqs/9HZEDZN5Svkzzgb1iMGpVnmstM4nlnsvQwJRmp9aCo3hsekmHHXezLMVqbIz0zfPaZjb
8Vs6zdyrGZJGAV9M2Sf2lfJvtv5sBobahLrOhnzKFim/ttZlhM6lb6FKxVWqbOKlzUYtnvX017g8
oxXZC9AH9pw85WjNtwmJRzW4nXKJJOGbDRay/lvUfF4atjQNWXHirfN8SKL46V5SzhigRhs7eI8v
KZkYG31X/a8mb0KFWnPNL0hdg2F8l9LkRVtyb8O4DsHZp75T+1BE5972Y+sVuaazYYBP4x+lodTU
kRGnpitk17Jqh6J7pSBF5uXUOmeL0kB+a3KrXmEZeZCYHHV93ChHrfGXqZxjltl++hWRckkynkuH
2x20zdcMBfLz4q3KW01fV/iNzjM/jV5S7yssYTjGA1W5ymGejN7dRJi8tgJqzj00vc5f7Xny53s+
R6r796MEBuCLiS3IaGlDVNuuhUKtM9VXIWVMYPzKpPAEfaUFv48U9ZcWE09sLLh3Slhde7WjbjGw
mBo8xt1H3K2BXbZ7Pi1nmV/H7EWufipqJYFxjbBLj0DtfQQLKs1ee6ArWy172VOx/MZph1F/DJey
4UdjfjJ2BFIdkhKfVgSNMOluon9s820PpdapcNEYneYaaZhus8cQ30H35CjVCkRo8a3qia2BzptT
DMWzNB+Tjru02E/WsRWf8lz941KGevBkcc3nwjM5r8TxyrSfK61xyuvwxfTveSY2QOaxlcDLcrcO
kosP1WfaiuVOBNxIAZ5oeHyVO7IP5ZxsLTx4d3CgYv7S16cShgETV3fL60Nm/ZahEbDkjZF85EC+
i9PESfTSASH7ZW2HyQ7JRXBz/Yzm8BgNL7TexxlDdbfDxTpJ7/PItjmc2hRHtlntde0i9B0yhHy+
dQKOURhLuyY6aMNJXZ4YJ7dRiGWSV3AyO3KSh9K1JTvsW8nrxZ9+eYMcKFP7oKjw4KWzFhybXHcy
Yze3H1uFdJSfUxYPZZd9CHyxk95+ID1zGc+72eudMGcBMKW6D/rluUNmxyjVm7hpbWmBHKE4VSyR
WnrJdTCgwPbNBqRoYz4Izt/D3JJjsDndVH9YaZjjuhdLe0Tyix840DjD5n4sLc9yjR75YcrfJ/ND
VooXuTOY+v2UKmXgRrxe7a2J6hQL9+kWJEnkwNqgFlS87WOZOiDOQUSGFAeiJN2r4+YIZKpW7xAK
H2lg86G6ryYLeM5KhLkITgwfGHZBsFkmVl12bW7VZYTaztEVglg2eQu9ayDvfNBD0EZ3LGbsJfKh
YzHVm105qOEkv2y2dsNa7eMT5GHJd3k3BYtF59kWuEd1Z64xVXK8SpqnpT+NY+uY9uSQGHSSi6ee
XXkQIDjmxLfNNw73D6pFn6R9iZY/uAIferXcC3IGFUVz1j7/kdI7bgCXXrKvbPqzNR/Mu6ADPBCp
QCyQoxeLC3nvbJcR0E4W4nz09Ijj/POMPq3E1guNyMepf6fLB4B+oHrp7v31E6LkN0nsyBqYFGlw
6zZmKpg9p3XLanLf5PLDhjPfBixWogGGgOQzzRMVwd82BOfKLXl/pC3yO272DD7kwrur8gp1Anza
rTorSuMbSUL0w3Y3Pzm4Ad0M7HNtl14lhUmZHQYJgkGzenmSwkmgkquPU8XmW7uQ8ilOZndNyQKU
lgfBs8wQ3xmin5YgrV4pwqSKwLFdF/vQoIG0VKB/0JgM1S21bRdrwgMByq2v78pOdizADVu5nVRO
/CLK/kyS7k4w+PKy2XVqE2p9EZA0/pDcqxS1v2Tp8qI2El7vUF5LSJCT1wDmh/V1Bgvl1ZHGob2G
q/q6RKWL9dw3UH9vmTMJ1TOy5aHIKTvz8twMlzKn/Cg70hM4tS7Vp5K1DyMBywqmdKdMBg9kgFOO
v3uWzMkoDuMk7+EAB5Y2c1zFAtFeidTz8VjDTdz2NoUosw6LzB/TKH+rZhJMLPstpKKh++iXJVAW
OMF8jnByvchkdyiB7StUn7xHlg5bTeC+9gfpqEqbtwgiCUWKfve9tJ7GQQNPx/ZXvXE3a5ELQ3an
YV+GRe3lsBzzGLhq9NEzxINRF4K/3NX15s31K0iRoIL7UdRA6F44FChNHxCKE2j3iIcJosJnXJi7
ajqXm3iLu/wwavKxzd5i663MKSnnaTevZ3Wp6S33xUXMHaaEfr8NLSKHeUcTTteKw0TpVFbpP+UA
/6XOMy1Afv17M/lvDej/Zcv5b1+1+1Pf27r9v/9T/y/2pe++rP/2r/7v/9yXrqvP7/pvjen7N/yz
MW3+RRaUiSyZXoTMbPwuxvxnY5q/wYpLiiG6mPvhXmb88p+NaU39i9RpDJJ4SzH5/aOd/J+N6ftf
KZrJMdSk042HQ/6vNKZR1P1bY5oGuE6TGC8RLXB21n/rL5gJs5doWlmNlFtPGeCNx5vurS77iUuH
LzyvJqd3gLdPUEQPs1955S7dmZdtDbash+HlHF9jEERl7e7UHSxgSLxvLLKHMUigJgTzG7P5w+QP
B1q6unGQRm+xnP7htfc5HIVIZH0r2LoTbn9Aq35phApM4jUsXbUZnNSpXU7LML/1R8hRExdGLzSY
PEv2lwDjUfwBG8q9jVzFbXQj3/aKXbI3/GRH69aBegLJxjXW03hkAR6dV3BdJ+lBuRV7Ds8H3ZkC
5dCcjJ2yazz9/Si8gn9EeNIvLewOha98pUHkj+ErTLgn1VGd+0+I2PUvd5nXKQrU1E9NR3qc3pXz
6I7OLXJ7X75wctWd18Pt9dV2zsf7f6xudyr2vf+hufC5nO7UnWpnPcA54NpLp3Tegufn2Pki2OU0
eKNfPtb8Yf4K7JSZtAtd6Sjt7kRC00sJO4Ju8ZpAdPNM/m3T+UidZ94rJ9tjHOLPFs/8th14cGhM
nK/uHaDDI/59pzqVTvyw2lSgL7JSPaaGC1t9GJwxpmdIda7e2m9QNfsmHI4aZy0NfF4AkZA6LT7p
t/Qau82uD0dHvgxQxOLeT0pfuaS89v7AL8O6zOa1e9sCmjFeeor33Aevi786umd8FAfYBGoTyJRc
nkn01nxtvaK4gkMjVSC/NV/s6+yr45/mQpmk/dGD9jbuxl3hDd9G44GWPFYpH5uq7z8W6ljhQllc
+awn8GR/pjMbaL5TnQzdpmP/qoCmTI7EHhWSOWGeJzdSfKr0/cLRL9mTFJjsr1Wyf++WffIzQm0c
idJxsiD2h6O0Vz311L2vH/cNSYFa5nS1Y7dhorGBxR5gDXneUU2ap17yp+nXFrt68WDfgDh6zc76
1ZyTk3JWn7rTvBtfDPMqvuyvegNXZaXuZDuSi3GcmzB/SDxxgRzhZuI8Iw0iTYgC0JH0oLyLmF1+
3zFCWByGL/PJ3FeLt+muzAHdJkeCA+KZDQCiA1OR8QeuK50ekGwzvs7n8TPJHP00XGB8dvV+Xg8w
HOskVL3okFyzfXbSR76JQ7i3eV8b79b1ejpw/a0rPbWeYAkA/DZQqL8JIKbPd+aG6nJc6H+MD+Nc
HpOdvY+soGhd4auHPBDcYKAjUtQ231DEuQfknceEBRKXG9VBfKs5A0wOLWk4pcsbd12rO+kv+QrT
Rn/3xOpETxDnA4fUYWfajaF2nlR38mg46d+8MNupArgTwXUFb+24cX6EEcS7AwAcjNaDeoleRJB7
9ydYUl9oFOUeXbb+i+uKmB64zZvOumG601t0y67xcflNrmn7R3yNNDFqV4G6qdK6D/VdFf9qQWau
z4rqyeF6rgLNDVYfsQHk3P3mXZpAP34Jpz/fpyzH7Hf+YBxE6hiflcch/w+Vt/Apzqz34qtEtxYq
79f4bH9iF+mcKrsqj+o1tV/UbD8p79u6hxRyU8/Ku3VqOsiMgDBH51vagyC0Lj6BVTvrLXLEuTwR
MuM0X8p1rz7uTFd+SH7UB+s6uaq/PqmHh3afhXUgt44UP5r5Hk699qp1vKDuAW5REuYey7L/+ZmE
jGLsveQ8JWF9PeAgc3/50G+ch9Xz9ZuS+N+Kp3ix2/9WTvzOkTztrfp8V1nMofZTMAWIpb05SD5H
jwMBf4K81F/8ItTdzZ9PD0oguw+AQ1/7xNMuxIDuLCRubrmvT6OHVPZS7yW+BLiJQ1iKa3jALW2+
Bmip4RQP+mH2uCB+/TohfnKKOkxbx1b3Gkjxs/Ge77XoMPxw2uS3xc87VdP9Kh6G1/uM51jsGqd4
NX1SkGs4PZNDzXqaA8aGoEM5Vv5kyqH3qgKcnLO5a2DgGuD/MC3t+e3JBobKMsNWNRwEo8pLgfvU
GeTduAajx/dwMt8VeiAKbwOtze0pnbXvmMFRoweqH1/13bs4y7wGW/PoeoBj3HFXeuaOfpz3qX6+
4PM8PLnhj9hXo6ccjaMVvDxUG3gWFwi9/slZeN+xb5pn+SGnyL9SWXtjALHWU3f3/yHivgEaFR/s
sVy+uaOvGj9Xn3np9vauP3FR1huEvof5JDnM3O590LPdfgCoF78nzcNkCu071S6Rf7M9fWb7IsMg
vUxxqDXsc/p7wSULiO6Z01tBI0J1Cm1Ppg8Aa9mgb/WPqun/dnn5/1XhqPzvC8fidz19/r1y5Dv+
WTmq0l8IIkzsJXd5Mfq0fxWOivEX1jOKR1W6ix9B+f73wtH6CyYJYYF3jT8l5T3v71+Fo/6XZkAR
oBJFYWfdrSP/qmj/DxQNdwXp3ytHlJc6UBKEs0jsTSK573//P0wcF+CBXZvQg5aM6Yi9sJx9DXrQ
DbONmJx5kluxU5sY3KYGvTczZT/NR0C8szFcco3gk7BODakPujG1aje3kkEJqUWXx8pYD6oBlFlY
02+1Y4cahqwNJIjOjm3GFsOvRX+F6dMB4oEIhLbzLQa/uVuJxHvciJCilNHgSt3xx3ncH6TeYhJV
CrqS83KWjfXJ6JvfkaJNapBKS0NHjRM8kGt6D7ITAevTDsT9cXjTFPhQwGYfwEpSscTqLF31FKq0
J8cT1q4MpYEVWO0shu96SqXkmVCOIqE3Vhlh3q65qwPEfd7K+UOpG4utFFARqG+sc2Q+ttFKLMFk
SyGZawt+KbhtLj73unVRqNokktXreVLaVwzNotspyho9NjWIJX9a9AjZAHEHBFcs6R6HsBYRXGH0
vo7S95Ih0ibBTPllxaN2WnCXVM5sy/xlzEoUq5XNute3NO7UkcE7jkk+sM8iv9PCgbNN/thW5qWY
Sjha4OsMP88XMmUBh31ZOYEYpcZaszQwIwddRJeYI+10APulv+jArZRQmG0JFt2Mlmdmzvqth3HG
6gku5VvSaZ3DghS2o8HyOkSDprpVBy7VLyR7Mp1xnMdPmvvFKekFRweNNoWjt8TTFLYG5dlqpu9E
7/J9NtY2cpOu+shJH3CsOJcR0XamQWCEYFYw5PoxgWl/GXDljfvZBjdpziVgLQQ/L9H94kfDcIe4
72g1r/AnOszdj6t9hVcfr2C5J6akg559KF2fuMVMrgmdwnOOyYKiu2lRGmbMVWi15S4GMNZoWNcu
WZSpp1W0bon3NMKJx9FR8L847X2MS4yEHQwdzQdtrNegL8cj8ZK/YmNg0k18DzMBwMx6NQdiTsdA
7zQvbtezka8qBHzN8GsTeHwz6ztbRBEZHBUTRaBHgI6ZGmUBLoAEFr8CfFQYtyhSbsYSmyduL0/t
FJqFOaTsHESrU98JaoLmlEd+3nu8bEznau6GZFvXXYPG02u1KdgMe6b5rhj0TzbSNjZd85ZGSvdN
nJ3mITrY+W0uKn2/Ri3E3GEbGQnoTI2iYThYrUZrXR3FYVAYsYHLftKTtdtpltQ6w1goTD+WAcxk
8QrEEHATwFVMxXDwGlr3syCjKC2pCaeB1A5vAapGfiXREiYvgg95PQqrvvRsWesSnVApWWz1A7x2
DUgk/U+dowRm0BdbqtKXuS7S/Xw/09ChxG5knKbWYGKEIBGimkL/0SSqMlHTnw0yv9tZ89fWmJAp
p+5F6e4wWsIy4ZW8xfZUnOt24A4pN/AznQUibFyWW9Ig3aradSUUDPY8cVRBiurya5gyem1qCbaO
+W3qQH8PW4ECwixVnsCq0l/gtVOhxBCl6Hulbs/j9qNHFcBckHRoTsZpUcISovfsGXkGxl4vpqDp
6d3NETHnG486PF0dWViSLYzuLADKLysBvLkD8rHRHTyYwwUkqYf861TUU3Qy1pkeZF/qfqwVu0Ut
saKOym2bxHYTm7DQd8R/YGPWhyLR51AALtwVMKwlZ1WMJsRGuj7IaTF/Am4yji30ToBECRDixvJH
pR7rc4oDisKDG/5VB+paeJko8qfBTFF6CDJFkPTkKK8yMLoMczXZV/QczuhMF87ZBuVdAwG7r7m5
fTim2q3se4Rs5dBYh4E809cGmy8LZSKpeqCzilp+2dC4tJSixeDEBM1ZzEKW/Lnrlt28FYXT8Gzg
RU/kfYGow2XAWnC7rwo4zaLWa8ixxmccJ1FAWMN9clTpoUmilxNZG0M1s2bAqAn0LH6vy6PkFmVd
0Wu1y500Ncz+YMOx+Y0xIhVTeWhauzmJcundBNvXYzwJ7YQpiQaCxCLXTHPMIU/pgEdoI7R4TaiP
aULaFYMjUsgYm5vph7Fu5qVdRqaiepmfYz2PoKlxt/EYnvu8e5vXPVZNVj2jC8kOguBopOfGMK71
2NY+0aGU/xDXj7lQios1V9qdWcvMRq2Z4hX5RgaawSTAAvPtKTEpMkHFvTqQgtC1g/hV4Ss6JFJf
X4tY1gM5W6Pr1rOepQQfoMb0FFqhAO7qE9RI7tWyupTTUvidVjaXsWmDfBL30ZFHWATbnRAeaktS
2BPywNc2X06R0mYBuQKcLjK6T0IeDuTLxGSJse+Y+lO6xF+phbYvnSYR9qbd7XQMUNjW9YmD5prB
nCeQ7Wqr3Hpr0jwYlnlF8Nkc1AIB2rgI7Skr2p8+l38mWa5PjZjqb1jolWfKLT3p7MG0loT4zdwI
de68x1bwomksbE/VxAxhW4bkFFeVCMxeUULbyMqTqdbStTJozVv6Mu6Lgjce8kB7yYAFXglm5Nr7
Uv5CQ2c4dRVNgVTXTmtn2jk17We7Wut3SEdJaPQa9+OovHYCzKoGSb120myl16DdB6REMY3EKLK2
NC1T6S5+grwZv65L/zMScULM7jwA1p2jh7TJ2yCxaQ+15cigzjAep4UcG431PMTmm+6MoVR9FB7F
16QWZPMsoju0AxTuVus5werJSSV12MWVhJAgSUg36ZonSZqypzyfm6Mh14SoKtW2lxoKpQqt81nV
x7uOotSD2Tbei5TngA8pIhxylVmyF8U6EaeBNkVaDqRyZScE2oI9zLD3Rl5O+3rdiu9+ZopT5ytu
QHl+aWrzlUiCgNSA+TDJncyTZldXc4qI5oNo4Q9JZb7Msz1fSL20LklRvcgWMDASe71EQ+Ep2NYf
BXAGX4qnOqwluz4iRc2eLBKZjlvDoJux78JJ32qZcs6bmb7DwEQXN/B06Lt0BZYp7Aj19SBoYhDj
xxAHBf2xkVPEaEOXz0cepKLxDKMuPnNdSlKv7uzPrbOBSRL6eraUzZr35G1PPnLW7XOeVEb+2dqP
H2Uf64/GsvHwDUv9yuxJu66QYB0j0fuDrpsv6yD0UGU3P8oW62K3JNLNbuUV2H2fIA1dk/h9NpLp
J1/gWDdDv3llB0XvPlzLHwjpa8ONaIqfRq6mx0muzCN0/3QXCbT3CX8N9nxsD7SVk58tNv5k5chs
bTbGsBtLI4hXJqxSPBuPMNoRyrPyu5rZILyZZuiuyqoxYCxqoYSrNo2qsxHwhZnTqIVnFLr5nBX3
Dxxe0l1hSUzkqlW6N/W2HZDeper+oHNkYEafZftIt5YjqGD1AOD5ATN9F4JFNUFaoxBR64H55pSr
D1vXKt+50ehcEaOJatj6H56RCk0SiUtB2pp4MAZ8FAejW34tNUlMXZb/GcjeZrSjGq9DO3VH7r8G
bcXwlTGw3C8x5UJmkgUlFKP2WkE/g2JxfGnsmiw2K31Har7QWLPHwJroKyXWSzwRW61Je9AyB92A
x2jVZrRLlJ4MxJkGyJafStC/vINS/1yN8VM71C5o0zP7nTNk2VXqaTFlMEnGrX+wSOEmnnYwdzG8
NFKxE2O3VP21sqQxbM3ts7bEA7QKOkWQPVwMuqxJHapRjZrSnSUJLZMiIwPuqa9Jf+q1wavKbkcJ
ku5Bm5+7jHDGrJ/6fQ0X/sB9XF6qWZ2BhIjUlfn6oxh46mKiNgOxyhVNftO6JTFxqys+y4AxXXKu
E0ama2r3wbpVdpgaU+aRh4LYeaEDYiYQvWfws5Q6aF9JTxEWJV2yyd85kadONCm3NdORlbTr6C+L
6hVG4atobluGDoFEtQHndPQlM8kPkLt/5Kw5tElMR5FDBOoptXxKtjbar7NMPq8dd6DMp+Iw5HQz
hzmyD0jh4oA4JUFPk+neBmHdXZQo8guTZE6dfEZBbgrKqKgJJ32rTnFNaLKm60A0pe5LTlYN3RHS
7Fzt/U6vJk/ZIC23ozoxJiQbcOV57qkbyA1dh/kT61x2BqasXliJf1UDcvYq06OdMihUWmteHMxV
C7HqLB5fxIZONjJPTlGdGo56TmcP5SEmts2SCsI8zOU69pYdkvDxXCQKEtkNvLdterVKOIq17NOo
TbwIqmnQ5vbrwHpiq8I4yR0i2lKb6ECtvPFdHI+oYBJ136lLH8ybYAGtkWfridjCxq6+RGvAqTBR
s5tLZZ3QNUYXkMrvlpGUocTybEazl6BFZ8sXSXLW164P015FCU9wGiodtd5FGgpOVNq+LuQt6DSp
DRdKfmT/dhcWa/OiqSSMlK2YQ7sfAstOkpdC5MWHHZ9Ta+B2IcXF4idN07HK19kbDDwyUQYhubCj
R/Z4NAFae5Jn/uG+mdhtotCO+UjkCe2QKXxSKPlIqxeQ32xxcYp6sSUpwaRUw9QZLJ0dzAZfx9F6
V6j5GnS5+kq4pczjN+f7uJ3HI9G/MydOfO5GrrApUmGYXermcn9YzCxQ4NP65pZVAZzlu9S7eK5i
4QuJMj8qI3joBPfCFMg8qMuDTyjlIUU75YkZ/YPEqNprV4VAXDHiJswQXCAiIK4j1vcKKmiVsJED
IeZMndAshEQQ3EXzdMsVubquRdOF+TaazPyHe5RBH4XYwwZWbtH5ylpTb5rUyptPivkK2j9ndJOl
g0sY2e8lUa+YWcveoKetS1k4YxwjOGR46xpZuGqpfrS8Nq+QcwMtmtoQSXcZpz8zZ1VHkMbBuy3v
7UyCTx6x+zZvuQHm3Sg/CFDF+KHU4VzMdHLIqpUq43c9lB/CxK1oZ5yElXJ8YZKuuDVnCMIevVU/
z6P9kFrGL3WxvqLYRrnQ94VX6MZxyImUIvPxPNPrIedJZq6BWkcomc6Ju9v2asNTKcATu+zotpck
0nIkwWcIpqJVkTJbjbsiskK0jOaJ/FEka3rNXHDqGncbFaQX1cRgQpLI59SH22DA9MruKtRteDeV
FVpTOz8tRFb5bF4oWgyNthLQmIrwIRQBKYOIybrx6fQB70LskD7ijwmRDER47DdD93PN1kJTHogt
GUmnhB1PWLGVyCE4r3vW6IrOiZ7YG0/EQ0qsRb2M4aBg9ZwVm2zBBaFlQ51Ku2YgomiqYLWW9KuH
V8vOc2+a+vmq0LdixdtggMv1sYh0w20TO/MkeOP7tWae0BLvcZRhWt4FuJQzfcdBxSBCx6ti5Dcr
KzVw1oPctpa/ZnmHhKG9Tkl/KZv5EiMjiTX2TQvjSm2VsxtF5nxgvYk9c2Y+S7vuOBUILuzR8NOY
5Rey5nOqKueEfg2uDcR18PtJiSR8GLuDbGEkqrXQKvXGVabysSJ2g+eEuDfIKVoz56GsRxc45Ywg
eqv5ahQUkerUpA9LkyWhENlPanKIHSHb79stx5ukb/QoiGJ2IZ9bDny72Kl0yWAQVn1MycxRI+Ot
SwdNHGQhGYdS7WHB94J0Gpm1SmPSZNYJIcmNVhB1qeC3lVcMRPqmOokhk0GsEl0y4uG4RJtke/bM
9IdDR36mjL+fSMkqi+2bdc84zaPhTHqqoPURQ3wQ+JwQtTYu3Npns4nOc0FmT61/k+C70zPxWHIi
D4mwetTnntajVDx2yaAeCWDbr2V8gxyP9LssD+vQBbEev+J0/S1h7mIySiYOsXGdq5XV6JRKh7hY
YTlURuICDFIjCX2lSl2oosryppDRTmk37HS7JblFSLskYYBC4hkfoXXWxsKfU7TdW1M9knf2HHcG
kVkWlzLXyJULzgj5qO3safk12a2EGdmAlVUtkNPi2SJ/rfUSs7jYCU6rqSX0ONUYNDaLdlGT7GAO
8YuJIGXDOOUQ8IAlgRB5bTMkVHf2T4W2eUpyfyLHm/JieqdbG3bRfIFU/IjY3fRE/Scv50+IFivd
KUKZpFhCdTVlj1aaPAFm/9KQSe7Kmqm3aqlrmOIADMYp/ryH5s4J74KitYeuU3cNJEZk4JNC/w6O
ZpKQjVtK8e2e1BK0lnifrOIDC+yV5rTm8S4yM47HoJQJj7HgwSgJaTHZcBPD9EpbYiabsEHbWaWl
oxnkfpgGaiZlXdmutjza5Wt1GSZUYuavta5/uqhlLYKu50RJebUNCD4UdsVVsQ0RqHLR7hKNbguo
Fo8u8ehIkIXqJsWbQ+YPKe4yZwwqvKTDryS6o5QO57HABiPn7Z9FGV5jgk+XTPnEj9I7SmRxXNIU
2oSpGXZ0YwjnoIXObt56fVFu7rRalyJdPhgCfCX1UjpYBNG0D9n3ZDYmt+7WeHM8ofIi7JPGF/3L
qF0nwomHIDYKy8HsvEecO7Hlj7ciJtwnkdD71io3fpENTwWtFteuMI2tK9QtQcIePU4GaItMY5jg
Udklu4ls2aJ9EbP0kWsUU9GSqs+F2rxybCPoaDSQUOTZQ1uLp3rTPoah+jaZbePlbvGDMdGX1xSF
Pg0ZtzGZ/U6q+RtJDNLA4e4aTLKgg95rkJPtLTH3LS3r1E3l6ib4RjJKZsmbO2UfSdWh0nE1Mldo
3Ikf51ZVtqLFXogDWFfZV7tcp1bPmchvgrwMwg+dXkTcN634rUU1sQikU9xlx/ewg4qXVSN9mSra
KYky/MoVjVJA5WCOM1Jp6DYY/DQC8nIiDfGh8NA54i5Fjef1VnS2wpUiVS20p6jqkLjDjQySDK9g
n60IO1e79eZG/JjZtBdt/sdq0JMa8jVamAea4yc2AMSPm/qamkrtampyWTGQdCIJx2U4wnUomfRZ
m1uAwb83t8dLXtdRCFNmYfPOpKCcxtIzSzxqiWTZwGPs0jWx1ziZzGZqLvkjPQtHwlNYCDnM1s54
zZLiuDbSF6frmSScE4G7u8TurmmsvSz5qh2nKb63j6PDQoHdF39WmbSoJjsk+vQGAdOR289UsX9Z
5fgBS8Z4LYeuRgGymQc0uD60l2g/tFgYtV6qsEOOiEYlvCitrqleb1ahbG27ZTBeIVh8DYP8mmc9
+SEAz3m3LMAUlAP1H4s6q2G2G6tF7ind+jF0PftFprxxlCToe1F0T7QbQ+KME/gQky3Ire/Nhnro
jeYbJgqdKjMfD4VqcgGyou+1dlYw0dl6aMjzZabR95ndm75t2d3WUdCfL56tWb1ZjXgDks4kO7/b
2qThHkdJOaTr2+9EGlqcmoLPYfywavBp1jRKKDvu+tkkyvGM6wkf4GoEy2bhghNad6S9flwK+4i6
7IStUnZTc3uvN4SxSo2wsTbZHUuzRMxZivaPCc8B6USXBJ2hXxAlM7GN8tsyDsxm8BzIY/yMHPNa
jtp1yVio5XzxJ1T8ujVjayz1y1CrhJ3pTNh7qSE+YzKI2SasN7QoORyREfpop9Rq+izfJsi+/HDU
Qv9B3Jk1x41j2/oXsYMjSL5mSqnJkix59gvDLrdJApxJkCB+/f2g9DmnStXXdc/TjY5olaUcSBDD
3muvtfZWyQtdz9BpCZv8jl6WcsjpTUgDanjxW3P0szl/rsArwLm3/rEZ5+//+6Lx/xvh8Lea+f+f
rEOk8R2i9r+UgTH7han3f+ccXuqpH/79H95yrh0L8S+8CIhDKQ6TlEIj/K/iMdVWqsd4ZeDXj2sY
jon/Uz1Og39RUMbBEsta3O+pLP939TiK/4W5Jv5ivAGvRYiC/6vqcfpXa4YkpjYdB9SQKMUEmHi8
djVunEFl30AzX4I+nYIHM/lDOTw2epyc2DrR2g9OuMXRdvPos64I5mNJmEa76ChYl+Kg05C2FDdp
OeUEEw1txxpizUDwDyRe9uMSb9J+7PetkT/90tb2Y9KriWZ4v97fyz5dnwMKo+JhJ0WnPEXnx0V9
q2sq17iliom/12x8fEoz+/sdJ6vPHyZEQXzYNIX73e7ZUX1Li7DZ+rtljgIgRlR7YEfEUJN4KOZ2
5SvP/0hbgcHfZYAHHL+TOGrtd3qo97m+0kNk+Wje625D99R4fhYIiPe7ptsGXr0pToJvbaDtfh2N
Wqw/d7uBzVT+rveeDmA2mU9lSLNiCj6ShuGU18KdprGHGg/WAsWBEOFKZd3dFKaWDV9jifXsR1La
nM2cm6MeGvRUaL7tAJ3yJ9AEd2Bnj5Lxpc+jXJ8LTR3noTGoztE0j3XPMxo9Pcifsi3doNESiZfN
YcWgUxqYcx5eoouKhnuIZniTlEll+ovzveU6aeVPb9D8fyJK7sBqUIGTHKOJJxw3DR9G0ZYnAM7f
q29JNXfyZ5xLxRzZXaO8UwdSygcOZNzQW2gc6MYWLsLIB4R1O4Q+2DAgL3sbfZS4AixlDH8jpt6y
HzZaoiK79AvJgJ9nCV0QnCCScrd7tSxK5H1om+ijGN6g6PCax9JfeDC7UH7+vqeIOVw19NdT3zK6
HsynJhYd/10F0s1jIkFGQgTugSQUQ1YeD71OuYCZrkv6wqdw3XlH6pkxY2UXUe5OrBj6fPf586hS
rC5Nodlm1V+0UYog5NcLwPPcvScpvYCzk/I8f6al4HmWxpXYWFa0eex5yfmJSuOjPT8MG1KQHGS5
48FVLxN8aWXFTYMTcLkp7a9JMJuBNOzj2EAnuG+bApLwaRi0W3rnBzOVWJZFtzKiE25/UQlRsgaK
UkqeQx/u7nF0L6svDhvKRbjrl7kMPpbx6Osfrfa4DwRmTJRtBHBGT/1ya+fP9v3CYyCi1Y7i4dfw
eYHuBkKnJp6qH93L6k2zkr8PKXViUBavxPeaIHrF6yg4WdBy9g7uvORKsK/aRpokD5X0zds/bbz/
SSX+VyIMHUUxuw5ZND5+bhgQ568o1HKzxYa3DYahA10zPzNSW3HCM30JH41NTDodfC7GfGAmIyKl
EKAycRuF28BfvBiM4TnA5Ct81GMx8ffzr3IgCykPv79U5zLyP3r285XGbq3SBYMt/rX9XN8NqgCi
C47naxyHEWyJZrg0EzqMYL3TJR3jovi6xwSVUfv9l/9VPM2X84VYCKIL51TCZvUVX4ikcgCgRWXR
0RxE3FqqV9ztvGLZfwhwdTUfKGDH6h+6V7w+aPhWLFc4zmgg4XhRTkD+J5YSZoLYnVOwA2qUFhbM
ryeSjePO8Jt53/nl7280+NudvvSRwJGOfBL/ofTVdyolsgbhCxFRXUXiXSO2egyvgpKA+GceFimt
GfN80TOs4TjtPkUrAOl+6OXY7O0bgqy2eVsOS8ZOGkD5uJlmyRxJoYFwqdPmCYRlYRsP9DT9hwsP
X88PrB7hjWGSk/kYlb1uR2Nrmlht/g4vdFVe8ln1rSjuMNPgirNhmsPHFPPhHMlfKwd1orEnFLUL
8AsV3mQ9nareJ6KjgfCRdtlZ8vn3F0eE8WryCqpSuF8yc+l48rfOVOuaJ5uQXX9sMaJhdraqXCD1
p9rEQBmlosJEv1uAN0CXvm7iw9Yomv+SuWUxBKkyia9b+qebD5azbn0uU8mJl1eDPz948ICKO9xo
9/mB6oubJ3nUs0qnThXNpZq7ZKMDqK0Mf0n3jvX9+5v72xZC0wrnLpayOlPsnV+tjXqtgrKSKx2p
pNnVp7kMZP3ks78X//SI/6r3cGsQ+Oul9RbOR1hRvpqb9ApuWzTCnChrxihQvJajEz7VgNZ0Uc3C
8XuZLYySSel2/2EfNrwpj1k8b+oT8GRVP41g1ubr7+//bysGGxHcUTPWaBziFvvqquo51r5MmuYY
LUEXUIcbveVnlRNq3Az1Wg6Ab2Uk/sGkwgXBf90O3XYUJHGIDzO9el5vh0lvtzKdsCsn0smah9DL
fevMfohEzIaA/93gC5tcqbjl9wBemG6Uftf786EgKY6oMu0Zor86i/efts4w5MBpfxZUPE3ojsE6
ojT1rqiyvXlQSZ1tn2nl1lX/cBt/vwvkO7i9o90ROS2k3Lr50w6nVMP3Q2Uhbaat53sqxv00XWyt
N+CNACI2CvLNcvYfNhluyZc13UpIWuNCY5rL3z/F4PXkwoTPWVrTrC7kNERX9NdL8WkzX7S1bY5T
S3clFAnxxBzbjNDeOxFZyaLMa7pDfpZbx8mz66gSn8PeZz55YZvGN/sQA/3+/qpezy13UQJbyYBT
5z9samW/Z7pPxwaSdi0Q3VKWtBw8QVHJLT+M087MhhnnFJq//2KcgF9NMPTAtOF2Fp/Y4mP28Wo8
tIIGmY7wBv2R7unJo8j90VfXONUrUCil+5l2McO6mmW89jYorDmwRSeLW9SWcu4u6zoYkOCsyUQQ
2qbzijKUUsUiqbRRr/Z2fL1CbXENk0QTRzGsUfAeseqom4OiBOc/gf5uAPdeFaLWicDoofbllUq+
qNDmtLVtSRNpSQLWIq63bmjDD2lSZCDbS+v7+Y1IQ9N+17QhF4/7GJZACQP8Dtz0okSl9QKc0gYl
iF9gFR3oA7+Ssr+paGLJplEqYfw3xVjMAQR7hGbjpfZNuWQXBbh+xa5Se1neYiRmI+itGSRfoPmc
KvV0nwkJDysVYwenzZeiqN9PdvGqf4dDnyf5RetXOs4v5dKr9G7iBdhci84b1zuiNDX+5DDQQXJd
aqLxC2vMFP4hVCXy76mB9nSvsmmMUeOW5WD/mOLdCbw5zjJ5HVFvpYG0TDvU3aoP9PI1ite6/DzQ
WiB69DAQyDUOBzSc2FD0rjAsKb6otfjRKTotQNynLJVcQZXB4xp3spmHdlixQAfxW/K2R26Fb7R4
n+mpBVumtaif/eghyyAKbhZ31mKZpb300+wNlXfT7u2U3BW68a05Wo/B/57TLTH+old4HckVuVaB
SpdSrw9BFlU6Sc9BWGP9HjGNFeb9iB6fGYjpVhw1VxyWw05dO9yANE9NuCSFvMKMHgc3DEzor/0P
Bxttil6tAcIJQgoa7dApISTufLUGGKCq3A2VO1NoYorBi8lbTSWFuocZ6IsrmYUuWRgHj2NVYpfv
ChMUekaEbJAJOZdtaNQnpcp2eEaWPOTXdmuclBkrCRU9+WE4YQDkL96EyjcYCrpOX8AKjizuFdA7
qU2Sn//RQlCCeh1lA6K1ZJHQLa7LOYKtSc8Wzv2cOMZ8UBlk6exiHUiv71bZxv4VKGXDB3vaq0yK
Zx2x2woDLyJr3UKbBsOtvxvI4qJtts5cyd4nckvCZTXPdIevu+kksQ7s5qu2EXAWj3Q1B1Q4JHlj
xYNBG0zwHbrl2B87swTBW3aFPsV5r9ZUQlk4YRffaVHs+ueLCehy1DHGLffBmBFG02TCRDdmqSF2
ow/s0724HeeKwEdDzVqfqx0G/03bBdrlISMM8asuUV5sDm1n6DEOASwA3gR1b4b1NjE8Lha/X9cD
hiss8eIjLVyRIxxG2dcRTZSHmX16KPVWv1lzGo8jDylEQFwEVcDFEKufuhHs9ZQQKRbGW8zXdg0Y
4cZCO7ybNXmZpnIWdzx1iVfM+rxkE2NW1BWtgy6mBsLpZy0kCfhVXU1EwBAwRvM1f0mpaPsObeM4
LBLPpIueEjk4cVwWJmuuhwj33du+Qh5d4n5SNmzwRQDbB2AV9iiGGNjRqhN26SujnULI5pNEuwCK
hABf4/d5DMPaP0XYuXNW1eyNS8QuYCsPor0Y8HR6z744pR8oO7LyDvkaDqm8bgx1cDRLGQz4z81e
jfInLAx3ArIhz+YrPVAM/4CJu5qvFNWmsQasbpr6KaS9K9218T9enyNLKfp+HrSbbjXx/TpReXPx
aWl7DqlFqtl7xzY8R1gW1HUxXJiK1sjXqwcJ8ISPGkEjrGj3hnp1ro+U592xNuTpoj6NlSghigcU
qd3lFRjjgD4wRYCb7fxQrDkJK6KIEO7hgIveQNOEhcdG+Y4nvlVVNH6nlyuXYHMakPXHMaVw/0nh
4zo/JA2zGqsgG+Dl+JLMhVgd1E/nyHqcBqLvsGaPwOKk8xow8d5470ofRt7PEgiHNd9u0Gxu11D7
PNfCn/mLWuZAXGX5BmPkmJq0IN1IhtpnxaTdwFgnoZ+Cn3StIXclH3Ox7PIyQ+3EZvoe8jR04b1m
b7i0hVUSP3kap0a3UaXZWbaXJdJCKVefsgg6NfpPf3ZBQhAtbE1eg+zlpiQXWZ/7qVHd+6qq2+XO
pEhKShxG5hGfGBnTr+yGrkcujT6nRku3c/ndXHJHnFHkT/M2EuVMXc8NaU4yuR8HCJWYHSUb0REK
Bb6PINJdQ7sjAPfxxp0jLiWyMYM6hDjtnzwed3yNnR5hejH3wHSRX0/eO7psoySARBFYts0uhnL/
LrL89qcZoUU+ONKzuKq7hAmGWpvbrTPFPNn7BrMwvTfAE9UG//p+bnaudsJDvW6Pe9RP8t5O4Fi3
yHRe8qXCjt8xVVrZTrp49qAZ03C8glc4h137FMi4RAy6hnCFb86TLN4jbwjhw6gQnfXmx/0DJj7O
hhR9SThctELP3XVKoKPu+5fTQXES6a+RDxj8RI7J0iiigR1tM7ZZv9ThGKl3TZIs6NK6YVq9525X
Xe4M1uoQ11P61pUsfDIKisle2LmlOUOAlW8AGfvgeYzWNvhYU9gYCw5bCG04L3hj9pbUk3IxaOwu
g3exv45oiffNpFdqiEHIoIoFrTrNfaJYuAWDeU0E6YLasKwZZDtFjJDu9qm6nMpi3x5SHVbjJ5qe
jsmp3wdmSV3JhTp3ly69pilUaGfGEeKQxCqi7Hwz4fmAI5Q+/sJFUP7UT5IusdMlHKjRe5dHucHv
ZWzhxJeXbZwN0XBRz7sQt8O8sUQjz3jbh2mv8gIwWpTi8xiVbQW9G5nLN5XHUfu2EqMoJ2wbe5Y8
zZGJwoeidpk9uYNWn3bR84VQytzQ6c2G6j6CVAMobcEJPw24KuvsXtL1iK4FQ9rr4jTqAhbhwfNG
0m4YV6Fbl0tSEh6zgeoqP0G03wZ1GVSeSt8mE+stOy7s2tgY8t8MQ+ulFYM5bPGCWsmnnHbz+4D8
dThOGELfGyJa/oeDQugyhT9lSklKBJEtinaleE+Cc58R5CoCsD0j6L//ur8lHhj8Y3+IAaJrkoyP
w1+/jk8fmr6Ma+I2w+ozZi4Yk/7lcPYD6yAKUdeswt9/7WuQD6NrzIZDvtVVd8CfXn3tJK1HBMnh
tFXwHY8L9UmebDIHPCaEY6zluCwLzug62GnX8A/+7y6e+zPGiC0FKAH7U0x2ndLT8a9fr6TJPQgo
5nCuxpxrBiBJBdj372/09fimcUY+96JCzChavc6uakPtKyUgp/RbBNxHW3lu3YOauPsd23Dtvyxi
GMK3v//eIPadA/ufblIgECPRBU8krKUTy2sUpafyHNRm+BnC755n6MpYuJDvj/NA4FaZSO/eSU/d
7Gj9uWej6t6zyz6iEs6USJaLJoLtM9/PXWD7L5GEvvFpKsScVMe0W9ewuZujLdPLBbqJJd+vsrgY
ovU23RIqNrHZw5X2o2Mep1i3sd+aJ+Fn/L8i7yOmgtibjfOlNZOMg4u67ud4xeIm8u4bZBNpccqR
OPA6lSWjoV9eF/RxfirrNEDJXAFrWmg9xqbhjJIFYQeORV0+UabydZxojGdMtS6gHGXRktLcd2G6
T8nFFEeGm28KCdwKD19pMry8mGW2neqBzS+FZmmnWV/QvlUVsMZ6RQe1S180xIiP1IgZzCNV5Xb/
lq77ErzL+PtMO4qX4tZEiaWqjp4F0kq/ego87ZPVpqphf7YZO+9dtgrIB7cgvpKmwZR5qgWVNowJ
pN4LdY4EK+AiiPs765sOjV1f7cliIfLls3i3hPXGLe0le9vjgDBnCC9tGQAOXexzm8OQGDJ4gzi9
gmQJRDocgTgreknd5t4xxs16wfItxByvPmb5XvFtzTYm235iMhb5k/bLFFkn6ei4J3eWgWSKLlDN
eaHAVA4ZzFAmzaKupZ5sPB1DlXDG57s/CZyTpYw6mK1Q/iF8h9FWBhdlN9IlDYobABmCnLZQpTwV
axUjrzQ1IignEwwbPA/q2fdJZstY49MLvyTgJEZb2qnl7QjLu3pvugjtgteNccG9rMLDIk6uSVf5
l5WYihYNuU6XrjpxesC8O3JEJGKAozmoZjntw9Tu42VW7G7yVVqnQABg/Ds7P35dNUTVfOcAi/nl
zgkFhaBxt43qwrkYRaUal+dgJZulqFfUgpUciGZO0UOM0uewbDMeKFpf1eaIana9mc8AHXKk2FZm
s45h7DadfVyJK5P9CVm0Wcx1v28V0sapmEM0INghJj1mt1mISPUraMCK8ivTLQfZNTNzxkPbrNuu
5LGvUOHudEazUYTXB6ZVcroL+2jR9SlqdeVbMBfAA/nMAbfwPrWNS6guQXkgNddyTPfyWBDSCexQ
/HxJsGnyWlEejYrS7mGsILOr74Tnhul2fsg7G+pyM5UyYmJVNXmI4zdWy4+NSnHdH/eSY3I9mjxm
3iAf6CHAoQYweP8dZgQyWGfPsYfO7iq1nr/d9BLR43d86qhTYzfa84d41sXGQUs5ymsvYy6CAuNa
7lQDbmAbOrBS1B3RQ6Jnbxu+bPEUDNFzgiKNT1coBNl+EGwMQzsd2NU25isHQW/sVZDH4+o/YDSW
lWhc08FZeae0eiQQzcvVvd8S3LIu0j7F1I3culemuiDjYYJvBWXX7TBltuUb6mVxF0a3Hsmeplw6
FMDF4ZOMqDpeEATWfeD5WmHuujqp0GLT5M5Jp7fPy1hwF42BAorMmkfEqwuzZvxIED8zFHakHe79
HOl+/eAjB8jfBi2hvbpOKOnajyuNa+3HuqvcArWNVuapT+xa3C9+GeB+SK6r5+WtSYPVgVVh7gqV
lfCoL4CpVj5fO5EWmafz+Pemykt0Y3DceV2tc3QVx8wKO8EGfPl0aEDuuduY38Isa1tvuWH/id0/
Xh6J9DJ3zwWkLv+TN3nl9dIh+q6wEysidZ9SUUel02x+W05XNYVfLjyimj9+n7rMbUQ7mrcWDzMN
zQATPgJbpp4nO7QvB5qa88Jz5HiOh9rztqWiDBjcW30eUpqJelqQ3ZduhXfZ4p7IhDiWH7jJMmpk
FIo/nce2Ru9kntYmdBV0MGv3KBR7F4Tjc5kfiH9gF9TZ6v40QrbivXucWCbJr9cvsanN0zxZjjXA
OCgA4/lm0kowrSnneEwlwkZa7SKCXnf31hY4CVNNlKVM8um8uc55Viw3eUUro6dfG/MoG7cYlmFy
70Jm58bjfPNK00cHLtb5u4Jsp6KfqMRND0NAqe7Pd7iLHRLeAR0ZF9bQcpyxPq8ivJUTPrtdGvd9
3uQOFRjKbnE2UZ+42325px6/Pg6HmmBK3WdQ/DnlOfrcKSWavGX4pjqR7X0z0g4pozt1uHn/rjpt
oFPrOgq4QR/jML7qfDxWpYvMkV5nSLAPKEJksl6LqBRLdS/irhw/BLINoE0SSqztfsE0rppn8DO0
aEf6sVMqo0XCPIILEUzRxQsHwnDW4b3Xac7+m8Sfl+YTOraZqOA8K1pI/MQSKRHwrTRiJIIvGp9k
TadFvtBavhtcLXARHofvld+OhDobaPD2ASAgr9D0h7AAvoSeyQiLh2YnW91znOB/0P2qK3+sxcBC
DTAaV/Jm7pe82I7zwiT+6vvIEz+Vedkyb84w2KACUhl2Z9Ju3DXzRb2HJOLws8zCH8K9T6x+1yIJ
611iwl6RDf6z8sqmgRNqwMiuw15q0p1wHF3hPYlXt7JX+nDy7FQvSYhMY12B/hc4Oe9cK9708wCs
uRoSdzREdq0Jubsx4ne/CvlYNSDg0MBWF305TGb6FiM18vqrQLNLHhxFmC9qx8DVBPyu4VKGJXvB
ZRboEQPCQnHb5Ku7qjlGvPE52WtRvFMi1PyK45863aYm7eY+MTn3MCh419hhV33mMq6o8LhnM5qV
56FC7L+Wy4ZoCz3ly3a55SjXvnsxJJ3PcaqmUN5aTjN3q1tQ5l9MrtPoWnSR6p7gHs98JmbKMBZG
u+4gf2fYh4zE0YqKJAW/gCW91PwI+s3nSxvmLOgaqSYvB/xwVzemTVj/pM7s+49lZpe+fkMxHokv
GYtyJ9IQKJ+6h+9ZBy9CP1/Dx6CqQ74+DgWPmzbLaBGP0QwFWn5rYoOO87DmLeWJIKwd1yJ/GXyd
BvAyzF5G1R9LNzYlmEbr+e2dgKbGR5cg5YykVbPDp4rKlhCfwzaf0WWbYEPnHJXQh+ZDVqB5yo42
aXZ8LuU8ArvpPXL7YJZJdoHMW/L4h/LLbiA+1rslcJwS6WPiNk/EVR+gSyOYOqbweaLsMt9TWb89
J0p97a/FqV5y6NZHs/cDQsm8tFNG5MPCZSK8pPFm3pggZ3QAu1K+cwaWVF+J1rWPOzmEcrZqAl3G
u9M8+fQ2bDs3Uac23uvtrh37pqINUYREcj+Golo6EKPRy9PbWloopM8FGm23mVtP5xjKt1rkJ9rh
RQMge9fqOrkZ53Dd6TYzeEFZNtdeFfnIt2gq3sUYLlXADvQNQW0Pj+Rb7wWR+7GS5ZdY4hdxkUXN
ZU2QDGXgGI2IQjBFgDdV1dsM5TrPtxyXkFFFcsYrLBv67A/k+XCFQWSFrffiZ7ymi1s0MjO+wR90
HVPkOutJz0Ej2uleqxwvgu82yjwdfXesKgEBy9un1iWIsZmsYf/ZTMCeMB1UI6pgmI+jH8RmBu/V
cCsBJwhlJDHiAU19HpbpxbAF1YbAh3mGK8NwIcN1teWDXTSk9B9xny8yvSmHNstxkYmCbBiCb928
xMLUh7TuSsL6Q8aBW6WsUCTbEifreUqDfweEyUV+A5EpCNbHAPyIq0yUTvmx2kQi2E8n9I/rDV28
251ov0KBzZ5ZrWJxXXeWthqu6zzPxF2AltrglWHThd63Qdtq07VHpaYFE3hDy9d4valtFtXNTeaS
5/jYEmam3qOfCYvXFXUmhTt6XVcVP7Ypg8d36quEj7vy9pVC9HEJSVVCrGFzGqXJx3KEiVrC1a4H
W4h/+zZM+/6SVuC4FJASg3XGN/Rh90Zy8jLO9+u59sYd9VpiyuLTsCZKBB9NFXj5pxIHEBldQfwr
cQ8hTiEZvKeOl9Lmxhfc0L329Z59bfqQ5POLEpXBYY0+9zllDVTeyIhw32OStpzr/ZqDsKB2FnFz
v+VrH8hHQtCOd1SL7lHMTm2msujWAokzqJ3uSoWrFjSsAFu6DjTuexmn1YQ/SNb0e3chCgEKe5nN
HCwAaomJeCSjQJuW483dMhGuFgm+uV9LemNW+T0uDHmZ3Wo/19Keeth1Vr6RnlwNhnFZD/pyyjVH
C+ZaGv8Y7AaibPX0G6hSOsF3uAgXU+EYYT3LO6oN44L8Udu58dG7TXKlk+earu7iVcjwEy5Ab5vU
JcWb1aGDNnELOdk9AGTw9EKMp9Zby3Q8xXPlE5cWiXVxbr+JeW8vYoBYJpKE/Jh/im3S05gnsirC
L2/Mkp3aJU4Emghk9OoN0UaSK56jaf1Q4c3ZbR2ePvPaBbX/2BLEAOweersuXEmnJM1rKR4Fftug
tEtLnV7tPL8EV99xzbSO2Ibp8phnf6BuTiwcC2QCthlv2wJoGAWBCddioaNahiQgnC51LSk2XsvV
CyYkLKhFzbMBRVXhQa0CmmoxtWH2NUE2tcR32wjc1n6k+0VunodaU7niisUUYHhfdXWh4fZHMCMQ
lc7JhMb8Y+v4c1/oZTgY+W1cqcsRoqKUqxKsGPIQB+BcpooFChfCbUUpGT4QBw0zcKw+zHk/ehGG
LroU4bsBTcZaXwqzNJl3sXhD67U3LVMl1XcA+svQdEe/pDroDO0nUwIaNVWAf/tKA3q6FkTZmK/5
dbuvQdheZmHt9A4CIzDZXYlW0QzkssqSHEOKWBf11OEYxM7UnWZE+z4gheh9P7zYGjKvFeSY1gDp
KZn1TF8pkdkMCWeASE5Pp2HVqqG7KGVxZDHkZm2E35tIe9+70EPa7ahmyNZ5ewHaE1fP5TTPujzN
oaW++LCxD+L4UiIzLMIbUaJI7y6WgqYpLa6JycDfFoX3w5siU3BCD2kyb41HNzCbaUFjG03ch0Z8
W6L0AIeFyO+YB0ANX/GxGXnzWG9uCg9auiihbtKBDx5qkFBsGGeyJCSa8cILJSJGfhdsVUE075No
yGNX4erN6/rQvTxE3sePvER/+SFu234bj1OPES/bU1W0Po4pcGfR3MpEb2SwlsOcTi3FaHkXvl3u
c2fN3v7V1ba4mrViU+WJJarnAsImpOaBKyVi3exQlUMg6VilFzcEQUmQE960GWrXjjZZwv0NCR2F
tZFSHK+AEu233jWhuhBfi3bJuek82txXm/Mwdvj5mP7apz9WREM4d+s6IcBoL+GFLHN8yRZB5naQ
SRls9GarvJwO3wKyLur/fsLQAuccwDOqDpSzG2xldOWyo//KP5Oe9V3hF8IVEiMHbqg0NUzvgL7Q
3WD+cm3/fbdjxQt/DfdCw3X3tnpzyEQ9GsuFlEva8MvRxJLdZxy2hL9J8ir+1YWaclUOVMEHw+Qm
X5vYALx31OvT5sEAePEJTRBxVKJAC0N7jEWh8PrZC6gfydHDfseNbwYxZbkyMzp1Cj9RoHKeHPwJ
3v1rDXSqoXB1wlRD0YDcEzZLcdyKx9B/3+xRWdprQgWXXC3hpKf8CAO5D1osiBf3cHEVcEMw9kRx
9aFMZ0MBKV0bd3m/nogXeCH/2gUdar7KYXRDAN3XAdKtCS0utyD+lRcd+8TU2OTVbW0srpb1NhbV
kZqQl3xa4eGgqzFJyDM57FFSY5FenyFMqYa+8G/KlKhUgjQkkFvfBEbQxvgAbriD5+ZYiYkvRpeR
T4QkxhKoADOQlbtSWxp6GB8vBfKSJ7lwyJhTto3V1p/GYCQG2aOmXR/jyVQljmddnK/VxbRDKzSH
eOhCEnqvJA+4Ny/Yg0Y/zHHQb+HGYfILz0h7tXXHch76Es1aPYWU9CsfTwp/04rKTm/z3cMFttym
pTuuoFjr7QYFw6JHptTIjrx122ZOVDLX6GsYsNN3BxBvkZIbwyKz7+a2ifEu8yXkGPjvvU2Wj3Xo
l/oGszjy7iqbR/LptgpcLu6ZZWr/2BGGpW8Kr503EDVfTzgn7H5dJuLCn+Gy3+x15GCIcZsdZpSN
euBmwz5wK53pBcgBrLCRY50hmmbdHFzB5tPwOwZFoutvW3ox/AF+WNF9T2JdwcGQ0e8iwV7XEzuu
2dGQLZ/GqK/o/heNQzeaRyuJj+0J/8Rgeo6lFu14iRPV5jqlkawtEPvOaNRSUeIPPs99MiEDGcKV
HFUdttC3hDQhfjBrd2Fl7LDV3sKJc2ZCNl9uRhwGuZcuS50Eo3oZqCkmXcxw7ZaQBk6Ej01FY5Np
NMm/1zKOvA968EKMh2noSnfsS7t34Ii4cOdYSRyLeFpx8SgwRlTTZTr7Yv681ZTeiEo8YvBPQ12V
9KcOFpNE2PHGUKKe0jUnRDqIMABwvZGtCoYvBQ3TzJOmALLAbsriBO+6XzdLoWBEZI6dwpSJ01Rp
KmaXAwolzAlRFDmgxKcXgXtUa5vq7BSF1C4piyzJNlRPXdcbzL6KTuz7137WW/iVxCNZ8qdJwSd9
ygfPwaclFl580nnTqeC3sU5nNbiJUFGW4NPdXslIIt92+BWOgwHwYtm6csi6Bo64tNEto4kuwEt6
HMtXBdcHiC+ktZ25GufCbcpeTc343pfbC/JGh2mHVm2hwwx/gWqtFxDgHDcq+96HdKmFLmGPs/Tv
tyrflHwzcWN02vNlHOFBQWRMGxZcT2gFwkR6QfuWwTBJsU4RTPpy7wBPQZFbGmTO2MoMHxvqKRvJ
tdJFuF4PdtzJZcIXcsEZYaPEyyy6hF42YuVhOSkxL+OyZmfG9YITavrGBzGq1tJGT4DSGhSvMP1C
byQ6cWStuWikdnsd4hI3NBKUDugsII5hPSY7FkPppY3bkYZhSTXo3cc2IIgdvst27nmkVr7Blqtq
Z/f2dB5dnYlo38GPkHYcDtoJ7Wa4OQ9mFE/Dkj7OcbDM3kOmPYc5juUY8D7p+exUeSfcUoBw6NA+
3Ufu5JnCtORDNORYSz9L3tDiGW+g62Lulnboty+91C9wwpNhGNyGyDfah7xIht5eKVS65ASwaBY9
XMzztu1f40UH+1uFmA2P0gE1mf26DdD14NCYeqzSG7EaZXBjhzgSkgS/oLylUgTO9GeJVYlx3zKI
EYNrYSpcIKgwuJs9L9axlPjA3uhu3Hg9Z0tnnn5B80b6bn9PduCcd0tEHfq99gDjvldnILitAwfz
FlVlGRjypawmAplaMmfMvrZs9+k8a5tNvOuCqhjU3Rl133WXAU/aONoL+wM1X/N/mDvT3bqRLUu/
S/1nggzODVQBfUbNs2TZfwjJljkPwSlIPn1/oeOLax3jKpFAA90FVLnuTacOdUhG7Nh7rW/pTaSc
5ma5R0qcBtWzqyg5gVgIOcxvvpGPDicjF/MJJXpP7pq89tJSS7yQ7aOto6da63tjExoqsD9NXmAb
26onlgBcvVVHrgvERtYS248Tlmm2icRs6TQUY447Fknq/VOjp5N6TRFRp/FjbyM4kFsb6UsE1Blo
Ec+R7XY+j3+dtT6fifGWouKumNpyar7iGB/003F4NvP3ltSvrnJV+rrjVPm1BtIdesy/mtnvyyUJ
5lQljRx5+w83L7W79/nL+0tXHL7l2kLyVTPwiXo+J1LxrP84rDRhISxunmDittBcHWy2qhXGc7w3
m/rQUfc6ux725JBAibtefi0PaalHCk0/T/yRcCTm+kykn7ojTbTD4uzYjrsEAojZ8fo7ymyg+/eR
QiB20VfFiCc4oUyyITxlUWlHZ7hwvLHZmM1S4nhHt1xAHTDiSec04u/3yq9Yp2nX7mLZTLK6rG0f
AfJL78gaazOVwYBZpXMcFs3LEo5iBR1gLL20/9ah7GNKqMLcHYmps1u9/eJHc3qCIqbcL/vdALhH
DCdt3U/8J+LoWv6oizIovxadlPQuFSOvgR5bDXL3lpOOCxiBpoQT3qklsewJyD6i4a9RyRL72hZy
CIbroPcS+DOJmJf+KbdtIggmpMikJVFV6RnDobtfh+S/4VrOOkYIKNCQoFLH6pWmOQxcZKz0QxSx
KQynhy63MSx6ucHerm93RgA4P+7XEJhOOsXHSZ8E+fiFlr9DPOpcmgTVYup35q7ddEunK0AvUzRN
6L3HIAyoY2MFZYATENS6PMV1F52S92PH0WppsYHEtwzdyYC84lTVGMFOWbhWpp0pukROWybOYrIx
Vkcp6TmuM7hZdW7ESYFDWySNQ++yFWlWfC0clreJyJ2hF/N6iFxlJKv6XSNkOgaDi9BwEv5v4epv
iJF+bsEJdQ3BANPyeDIfprxu029T2dIdTuNRgmPFhmqndEImWgqQG4FLsr3FzdQ5zWZJ4p4fwU7R
ienVdt2KRZhuCp3IiSRenv4ydd+b6nE1RE9T0FlwTuCV6p+RH6ZcOBT02U7RipluHQe4Rb0qWpPr
nIoI8cNkzX7zMLYeqOmL2GmLqr2chtnKbw3Ph4a1noqugrZIEd9VIcKsNjKvpGNWnXkxED1t4X2T
4eKKfW6wTleMJ4qCPpUJwYtWH61v7JZbyW42lDyeTVQVJ1iL8tbYAZ2TMM8tZD0JURENQllc8Pmk
rC+G0WXTeB/WTrfAF+P0Zj2zQY/BHb0URjc6Bn6qkR3PLb0N8klhKUC4ypBa/EibghkHCZzC7fLt
kvqF9WzZcc8Pqmpd/OvFXf9YlGB2X+4qj+G1vx8Vl4r/NR0WkHsmDuYBodGAOrVfh20zJF/7gIkl
HARmCQlM/gCL4byu59GcHKhDeq5XjiwFBE9kZC7Bj60bn5YhHxz0pP7hyq7e6pD5mQcOnla2uZ2W
Kk4AM6rqfUEvSr31tCOEXsYw2l/HCio486IuaFJuFhA9/d+Vldvqe7H0E+0iAcu2AOIVmvF8cxhe
/XqdYjXo4ZvRMts295SJ7AKwITnc9oByUDXxlESGbrZPcFkQIMRhQT8AWLBtC2CFA7b3YB8Eiizm
nd8MvMsrJgixhkx09NxmOmjw6lAICZUST4m2mMr/oSudLG3vCzOZA3WylJnZGyUprVJf7VSPdlNt
qbkNuzsb04k7G1mDMqO1icMgevUgu8XJDuiW5cJTKZo5ep1QljQPVhI7zUNATV1b3LxC/255gmWO
Q3EkGHA39O/4+g+zwqkthtCgOxO3cClrs7YhKFG46QHumLR6qIsuemAk+GuMfhgHdK3UG/uvrw6C
nT5y/NrtQTvoeuFXAcQLqMe2v/aoit4btwZ3pL4eNwv0xNZktM2ZB6XfdNvil+IzEVt4fbpp2sYD
gT3qCTKdl4N64dcE2I1ROscX+KTjIeLJmsta7IysbJhjaDUByaF95Qsixydqerk102gKu31YmYbx
N8oszUj4TZflhS6JSHriaPm4bWzXOhKf+V2IMHkhtBSQOMrgFfP/DO4YTRg9eILwiQ64X2A9Oju/
Zjhrbmkaj+iNleMzi6MzojW8tI9nhlYRKyhG3n/pWhjtMh3E3qT/eJc4uwlH+YINydJTMCIlGRAb
+aQXsNgdFQPRg+3wMA6cS4OhHkc9bAZOWr7P7kD/6YmTNgyjmxgkmauLct4i2mTeGfZYxJGI5vU9
7X1FQd9O8AxMjuJ1KhgDzEjYT5rMti1zU7RYDeACqrHTcTqm6MlD/1z49lHax7eLbpLTjicCD2Gh
f+yl9XPH7yUtya0E21oTW5bS7cBYPwIf+0cqwsNHQQE3tXfEtgNPixx/k2qWqHtQuYlga0sgXitk
GOD4RF48ff4bffTO/fkxRxLNf38Mg6PY81EoOXpNY7aZhzriuAlNc8OQpvfKsxa6APlQthMRspuO
XW+df34x1kdVob4avloCGkzT1l7QYyefNTAKYV5ByBaHGfU4l1I/Q1R+HGPUVOkBcBT4krmrFfGo
MVphFHh4Vuqxbvm78IH1H78GmmpotPDg86v8qLrE0ExjWWibZkh5gqD2yG7o+O2Y2D4OBTcqNdYA
CBeGmsCGY1CsG0BT8znObtARn3/s+6v7b8ml/lyQJYGP0V6nqL1jS35/ItCLL97sDs1OoLRlISOF
t2UomndsZIWidYcYKk4Yuy8t3fMN265+5R1WV5Qy7wPuzy9IPxofrscXlggtK3ACV1gIQj8+oU7j
DlrdG20bRPdYzehpgegYG0DdL4AK+RoW26w0jeIdBZL7jEjvPr+EPx6YAEeVzzvi8r8mHIKjx1di
LPDQ2WhZr6Mn2EPpT+43fPBLRUxMr5jnB6xQstwdlg+/WVyMA4cTCaoLddN1k2aXdBwhmNYfxuqf
X+RH0TU3TZtr9TfFx/JQu0dLMvQPJHdGT3qcjQ8NvtXBcl/ypALWamXG8/M369TxI8pHOiRoYL20
uD/8Px9vDWazNpGQVddGoGjzPMBgqIhTl1ZXN+ex6Sm9WkvyrHef/6pHzyjvLd0rkvlwFJueQ7vq
6IPRRszpNPXmBhY0P532F9KNMo3JyTywFg57QNxUg35LJ5PHlc5phh+HhPdG/M2regQi0NdDcURb
PPA10cc5tlXTl8kTB6jAhrmhVtgftDK6R0g/ZTByvcsdBDwBPWbQH6bSqgliKAho2VCs42Lb8a8a
YYq+rsvUtJ9oouWXA5YEXj53VvyELOmw4nz+VQr9WPz79eLSfRTkngupAu8seLPjr7JpjZ6WAV9l
5w6ANGaYU4pRzoxeKmWWV35Ry4IGHXpsrP1AjYulhojoEjIxYpFMoDPyG7fAd1dNvpbt+E6CUgkz
j1bB+LWjl9P0Xbxj1Sjk2O8FlvizeKGEQcv7vil//kv9cT8sbojjWJ5HRe+b7rHhfK4Wv00Kogfw
LR0EOshtLoGI4i8CMZmjikm0kUKtBiyyONlIXGmZTBtFkDJpdDL0KYoxVX55QGWI+F09icNNj6AC
YJH84Zg5lrrPr9z++BazxuB9sQIT7ILDekfP6OMrJRZ6P4gfJnJmcz3g6HIDVZN0OAo9BhPjpFcM
LwHIiChkvW29gd+eJBnSfy8HH5nQW5eBHnhlbuOSpQtUZq7P01K545XJGHK6IMphynEUzUNMg5Eu
q8DCDEx3jPDuMKcwb3/dsVJEbIAZ/DK0w6IWTjJtg7BDjo3gpFqsr3mDxv0nlOLSjda5LAD6k5KX
6uURiCs1FP3MIPneWTZZH1ubMZ/3PPt4wr58/pUdmeH1V4bcMGBFcEPBsE1ztn7fsNA1l/jCGhLg
Sno4Cerz95Iwp/XIy3UoONF4ZLWLCCAvslfGslSDoU2/K93H7Zjx1/KyXbK/qZKPtg2ujBqNPgVV
oWAv94KjJdmyK9thEVzW5rsLMKk5XHEWsHLMslWAwY4yMiJqHhhl6+MWxUDoWNmNVExKHlEYTEO3
KeI8rs6sKLagPibIB3jrPv8CdYn3+wrAngo6Be8FUAgXq8fR98cRK6Lt0ZFB7uADfKbV0Ocm7aGi
A4891qPVvIRMihM8e5VyIGV//vF/3j/2dA63QmDx0JlZR488w0fBHUghdi51z+Ip/EhzA5auKvr0
fmYFA5Tzbjz0tA6LU2lkR6yX2ZBoLWRrNEjUSlHqZekfXhpYWZi3PFjkbsEbOl4cW3gxdpKnzmap
MnYYer1I4/CSEeBEyDmJEtc2qgyuZXbNyHyeXWRN5S5RhVbm4X/uoAu7UZH9+JvrOl60IZfAWGCJ
s6nXLMrZj4+86Osae9UwneEvWZhCExeDpxUZixbMkEfugCNYzt16coorOitBF19CjNATtuAw3rbo
OTIp+Pyy9Kf+9iBhAgodz2YyBPQOS/SxD4u3nYgI2DtMZdFefCVFCrbO6peYMyVNjYXWww7+d5Wy
OHqCBTYsvQK4vmdTivxRIqoAFXDB1JNulImofLEmPbbCaFAgb5E0TDpGhr3qLVjN0Jd6NBAVU1Zy
qbFLZ9fgohjArpBTWrAKbM7mIVHYdqdnInh7aEgXQzcNb5Ua0TIuFU/ynqjuskMY1bIK80t39bPA
weh+r2qt2uyRQY8XcP/H2V45LUAE5ggh0/ctnReWxn/2vVumzXiQvY7yw+RdOtrCgZWEfOr44+CV
7wkZFsDT3quvX+8ICnJW388/9Xh1EzR5iDLG+OZDKwz/+NYZWaulprsEUCmdWPVlPFB/dTwFeo+M
pV6p2J10BdYxmUJ+nVq6ODJiZnHLdZtj6iULva1M/iLx3exwGNoTegWfX+gRGYHjAwuw6wDO5kRN
vegfLcO5109WF44Yxg6jxqzJ6u4rvjXA3ehsZq0nEoLwDKiaEXkh32bI+tVPB+t7px3SPs9UkAY6
W72PPGY4BLNKL/3eWJHWty9mi3d85bEHBDYzGY4hwTlRD1plIelVZDSrybySy8acUBVc06vWmnpI
BLrSqmtLt56Y6YryHB8nBkYAAYbvr9s2mQnoBTQR5BuX/beK/mZ9O35vLFSEdBhc4XNs+NOnCXA0
TmjbIyFFs+R8SVRGdMEocS+VG5xb+qYO2MaG70R/0YL/m33nqNRhv7ZDj/065JawUR7vO/hZesYE
Kl4vKSa9AP/XOyMMzGmvD1Lv/ZvPn4TjBQr/IMuDg4BBnxwoDz8umzRx4BfMObPvItb9tdrJdXFa
p1I/pAcNsxATB93PP9fWW+jvK6MA0kMtB6HDcUOcv0dPIMyWIWL7Zf4R21Z5XiHkRZ53GH85OTXW
LcJP1hPiiVhtBstUPDtGYXf8QcnCyGHfMrJmCUI9o8WFLfRod5M0lj3lNL+SGllIW00JCdZ12SNe
IsqLonx7OI7Ck1iiGx+VO1GO8VyiAgrmKTbvEG9XidoodDk0SNHy9vIePDOEsdWQcudJ8J5k3DpY
PozA6m7g8rKU7Op+zkRx9vmXpFepj9+RRgexluNm1SvK0c2RLjGXaJf7VUjaFMAsg2rl+SCC+fyD
jp96Fi7OjiFTUxc9kG0e1TuRHJ3ZjChnDk77RSApukN6z20/FIuJYeu1i7MMi/vnn31c7Aj+h/Yl
x0QG477jH+/cg7Jn6UOmY46a6xee0C7dxs9t7v5hZ+EsggXfgvE7vEXvz8NhqBa5Jn/Hrlo9Rfr8
qv746uk3ggTzKMC0Yfu4xVIOVQ+TAFEpIJY4QpkhEgZNWw+DFXrGzz/r+OwODTeg6qVKcHVtjIr0
40vY903WuBaBGsH7wgprVNbXDakV0201UoJeeu/OI2F3SDli39OLdBUu7Lk9/Zby73qBx2sCq4Gg
gR3gQKB8+WMVqoMYWZplQ+XxmVpcBbzF6kFmgS4d8sDUCnEby7CguEjLwmwubIQzbBgAb3hgZtPG
uktWXEK/h+Z7SA5b0zCYy/ao97T0QYnYRWOYv/9q//SrpDkc0KujEPRdG87vx6+ySdu0t9RcYaLg
edszi1bpBNpOi5HCJJT51iThgd8gijks7zsjkO5Pxk9NaW/CSRN3//EFUZeyyepeghB/9CwRqeLD
gqO/bo2Qda600B+fynbSEovF8xZ2UPhy0qCZnlNwt8w/44rr43ixsCDCy0/52j+/qI/9Q3jqlMhs
/bz0Nuw2Jhcfv6Q8NRVsFxIMZxqtvDqJFsK8Dg7nYGY2EFb0SjxPPF8xiTAQQpTUGtjPL+KPp0w3
MTkJ8tLrjee4BMG2EVRQH8v1QT7ney2fVE60YeW/lJuDtoTef/6x78vJ74sqraiA5gwGAT6fh+Co
cdnV/uQrywHSM4EGajENxNN7akpexl/sBBTcGYpupvT2u/BiSJjVVRubMB9vX6Uu+pcEgjTqI2iY
/IrbwDNMTN+O0n6nZjSX4S2ME/QQOIm1HmSArVhf/7LKpR7P4eFpHDKEPcXKBEDDH22GVY+0yQLf
/HR5eNM//8U/zhu46XorYXU3fQtSFvXfx5sOR8lNs9Bq1uQ9sYxw1tf7/S8VmlHgLX0LFQsiMfJ1
0Xf44WOafNg03y2Q79fyj+K2/yM5/f8lD51lvZ3v3uK0rn4HnPPs/mce+v8uXl+q9OXo7x9g6ML6
y3R9vmx0gbpdbrHzqreu/+//ssK/dPWjTyKQJGzLY6Wq6rZP/vu/HPEXNSgHOMGbStS2Jph39aD/
kR3+5TkUzRy8bdpiAf/oHyRp/1FuMkyj9tJbHO119uGPj4QcZCqrPqL9mCXjbV71xJf6Y2Zs66KZ
/q6nwhbCj/v9zYO/y2sHZpSZGtcvjtZmCXLbIeUvWRPA4DyzIqevpi8T9NWYPnGiOth9VFClLQI3
oV7pGwA6KmIxXs3Z7NknZVVE2HpQnVxPTL6LbZx0A+E5UMBvAQx41ibpvRTcrh2W553Tl/Baq0ad
knhQgSIIXZgFE9JTOoVxDUt6jpAWjx6So3UMxQOwk8jKJ5JQCNW1SLG75Sxb34SqHLkWkgxXcZ6S
S+Kgthk3Bh7f5zZq4tM4HYxq5bpDGK4xSSowj2lD7i1nOBGieYzEN7LT4GXMRPg+0a/2rLVpFcRg
Y48i8AhPAMLoxejtcsM6afjrIG/GK2A89ZeOE9Y5XrXsLq78NsPcMzvjmtTPhmRyRb92bY6OMAik
kvJmHH0STi1mt+MbBhHpbXtr6b/FUAuvE7RG9m6eWvc56Aada9wWwlshDePsZjCzeTKVNaUnBth4
7OGA1299FNMcemawh+ugMeRXTnPRlzScinpDJVP4REWbHUJWcyGICcW3+kbPqrOQAlnBFzGPE7md
U1++liXmPxIM5z5dDbLr4nVnBpoqEIfWrTLi0j5xerdzNwRLDLeZsj2E7mooe2wLaWCs6E2O5l6j
PAfyIjlJ8tQ2JsfkOXwIIPjBqysDF+txRWz2yjN871uCQV/Q4BDOC7JrA2Q8UmfyoHN6QbuqneXN
rPrxNWvV4KyGEPuUZt5N7rp0ulGuHM5mj46J2HmdL1OwG8llT/bIxtEs1oguH/tGhw+6lZM1K8/x
xusx0mC9bixJ5YqS2t1QO/oIZmpr2tu9076ljVnDohe94pirSBgPtNVuLZAY/4jxZTH6ILWZzDfR
EWuftO2ynRtiMk4ss+22iVWMw7OjmNKuAJyTsWH3aS+2RGqrb3EyTRLUgGd39L1bVDj44lItBpqF
S1qPCrH8zOSgn2JHQ+bMY2K8BpnnYyRDPtTrpy5y6XVrzLuZRFm/yYMZN+IEmK9eDYkh7xHUsTjY
SPCqHScsp9iKHNrFOvKrmOmnVNNroEKSYaXMe7q2LmCpLZgCievcSDtCdpsZzdhg5R1R3aGnfuJL
wxNOeh1vM5fx4JLOKE+8lACPLTu3Y69qA+X8WpkzmBO/LHprJ0I1PHR9C0uApautt8zvNYYAGc4q
x8x9RUAXMtqEUeOPxR7BXFkoZjwmbmE9b1uooS8Nc6uUHxrXPs4lVXxTcw+bUQzw+zdRmvrx1qEg
e1O2W/aXWTP7EHkBUNd7JICpexYaS/yQFKpRMFFw0ezILem/F8mCOH0YS9O+BFyXS9y7Y6DQjyXk
kdpgK0BeeYX3bfEM5l92hoO5RzX25ENIeWjott3FsFGxGrbFeAOf0bW2iwyE3JAP6Zeb/4vb7/fp
f32vG+B8cdL/z/+3wSX/YaMWPrKc/7xV37+1rx936vd/4ddebf+lp6jo+KnYGfj/O7jECv4KwH+z
6/LPDpjjf23V3l/saoJmDf/g41bNLg5zlM3a4jNCjrXeP9mqLaZ1x9unrw+iAa0h2kMUAFqA9Jsu
JU1hlpI5QkAV9suzNMmN7Yg5+czw4/rFBhf7RbSKxlrGwAfN7jc7xKCeiL69DrooukjJ9n6NZLPg
HkyD0yKZky9Jtiw7d1icC2JiobcmtKWeiY/oiIiKquQcQWR1g+OwuFCgXH4qpke3RoELmxXTuCLz
vb0zoAteWVkG0ylVww0Dg/6Slbp56sizYrlOsq1yB3gzE/mYeZ8CKgjxGWS9RKkK2OSURAv2W5W2
3Qo6krzF7encI61f9raRZ6+1Hwy0hVJ1attLdTI1ZX+rZrWcT/SiT4jIFhe8mMu27pZy53pJfoHO
9JIZxk1McR5P/l1hRcgThXUfceSAkEQM3dxPAKIyO3oJAyJlzdragoilJEhZHpdG/IgUmVsqTrcp
CY5N4Z+1wJSx+fa7zEJpa3vJGar3ay9+VHN9Z7hFe5LErroZgFDvylDF4YpkCfWlasf5oqqCmKsf
+rdANc4+LYryxFqEvSLKjIUR2sGrlSXmvTOU8tSYnYd6qdRXxpk2Nbhj7AEhbFRiX2XCcfcaSHAb
oXO7XCAsPKrKnLc+HBri4o3xIU5ZXlsPRiqZaIU6SyTbO6G1w1NvT9C0FP1e4hdleB0OyfdBllvY
HOgAUbWBzyptZAuabIjj+vuQjMm+lHZ/a9tNuKqK2NgDuB05zDvXroHQWNT9jd/1z8ZINFQi7bVi
v1mj8TytSmzgDllihDVeyWF6ihsPO9lkAmYeXn2bcEK0vNspx5kSieYsQI/K/HxJdjZ82S3Um/N+
nM6lAXWrdNfkk74mgv5TPMT5tirHR+RZCT30eEguDHIXm1WvGb401dthI9h1N34enAbSH56Ycubn
Fiv9OZAgAnVj6rMOnxPeg9LemeCRN3HWbrK02ir5Q8ig1PUATgBSIU59eRYh9cBRRkgvYkpj33pq
E/QLXy/hDmfABYnbGRHHsTFRYQbZhn79PshsWIKxEXy3lOHsauBWBKsnPnBfyxooPRw2g3jvBVW4
nv2ZVLMZJMlckMbp2pSextZ0xh17Cru8wCC7UKPIejqRIpVn2NHe2tY6ZbsjEi7rzy2XGOEJR4J2
Ok6XCfHr29aNd6Pw4u2osnO4poCoB5cXzibIFzHfud2k1hmhpsmK4Madi/Vt3TOaPU0b275CqnLV
0Zy5nYyiXyHd/I41+NEfCdGyAve2EgT6FX0DBFl3wDvLWba+b7ywS+YXHezXu9bMBrJG4Ij6Du4A
eDpoo9n9SDKcEeM4dcss1WlfFkys520SOGQamj4GVsDkHEeuexDJRHknXwUK/v1YWOpJD4l2Qy2H
+0G4l31g8F0lxoaKjwxvEESV/TMr09PWSdJLL56cp7xaBIk0131Hpl0wI+dtAwdsj1LfK1Bfq1ia
9pM7EVs4tEF6DvV/Z5NtueIY/hxKQLxVmzOeaJOHiChUhKj1vprLE9/ibdoEdepfpICKnyCMVuus
bqkAslu3coeblCjQJHQuMYGepnP/VPuiXKVxxjPZNxD50x/V7L+gtbtyx6K58qEdwN0paPWQlIdC
IztzG3JO48FrT4lEGp+kUZaXAsvKKvE5aIhF4oEGJf7dHsP2Io1LJtNMFH+2WU0Cq10ojm9efM5Z
pdtj7We5A8LGHAe4+7qxiCztG6vYoRpHSZ4UvE8SoYADNXzfzqQ7MvJwcaky76PcTzZYfvx9OZP7
lxPavsWW/YpMFOCwgj7eOFCnYzqp57PdLue0+pI7kGLiW4qFIt/4SW9djVAxrrsohfyY30YC4+G2
KMJ0FzvLpR4aR2FQQSW1vOSHZ+Qejq0we47ddL7y0Ui/4dxz3yZu21m+hLe4csDqBFSbRJ0GL3OT
k4rlRuc6SoiMYYIAYxmfarfZdpSuddoGcXFf+umPnsyBjVNLe2P0VvVExvt414iyeAI+sKyEt5wm
rZlDLxJkODLgx+uUQSFaZYv3bEwuUa4hztyGQZhfPUalU2/I+MJLyzJwBaz1u0pMOCtpX66l4RPI
zDgl4d2W4qVJUPqsB0N0cF/hIPOrRolJQENs70A9E9EuKinvKpqBxlqb0oN9NxvOaQBM9as9NtUF
5UceYFWv/AfHNAJ3lXL8+wrxGrjX4lY3vTGMp2GY1xcgIowNZ1CCEJmRCez78dheoEOOFZVwKx4b
0kRu0H6zDCADHl8HMyBrNUK7fULeZ/OEBNJ9IPe3b9Z5A4yGPMXKC0/wVRsvckiHuxHi+b1B6+6O
uMPunlIkWAlVeevCG7pVR68c6jWgvcxk0eLgOV3T/1suR9kNZ0lOYJULCvmxdqynWqY8YgNRwmEz
2Wfp0k4vfB+AFhdP1m/zwtFDYsz/GfOX5k2RdvYjTcl4xNonWCHHWIeUtvZNXpGui2R26ipY2mAd
ZeCCIQtNklmi8D4jH7TLcGK00R34V3biGst5rzLUZcWjNxfRzxQ59g5U8Al6oH3h/ggCPOSmv+85
5+fp8mqK3Rj5ZAuCfMxWOTy167Soo4sgH/r1mKlTxxpfoGeQdlqyUKxJNGledbl4jqsqvCljxnek
/0TdOkgwfUdD/SJHBL2I3Rr9+F66ctiHPu+oStm/wn7cc8pwHx1rUBvKCPvShC5wCzEr3lVkHwbC
XnCi+t3tSFfyEWovtRukPnmf+bbYggMKbxJ4jS9pO7hrbFIhgnJBBMLC8bHMCFhNtFksxdC8i/um
3fWh8t48v3tlKrs8YmxSfDllu2/Abv5wZzfZUnt17KAt4S0tRVonLbQUS3HvYqPfEd7cbtrJ26t6
GfZ+Yr36mfkU2v2gJXTVVR22zkmcobeE8DV9xU1zYs5yL3gvXaO6iIN6TzQRq2RYTQTVOuZTyj3W
kiwRn7MJVW9jNlOlLAqZMQSYvUnaHDl2RRb/AKT+4htBey1Ka5s1k3uBxbW6cxs/X2EeTG4Q9Iqv
sh3Jfkdq98iU0L5WQ9+deAVclc6bLGa9k7OXhc6orcJoi1eQRF28XI8qLmpKgUoGP5lOYi8UrgQk
DWCJNy1mAo1f1CLvggbAHJ+ZpGpsqnLvKh9TtOOdlJGXbjMjIVOpbpOzpRbtydQR1BB2WQz1hjDU
bbqUzRaLgrGx4mjYMpZxTyuR3g7L7H/BLxpeqUUCV4KYhHljtOpHkHhdzUwT6BKxvTMU/CxJMTQ6
dLCwZPLfCRB7nGvzE9vAm2JF92FxkQaLhAoyEVaLwUfuhwwyxQrFSnSaFaP1M3c6RhBlcu6neF5a
Mu7PiyaWK9mm80mezOVp2zbD6TL44osMABOMFMKI/UUdYkMgvcmEI9YFqwD0+pbZcTHj7wvBuBZu
dBEPXQ7kyszicCvSyDprScLrOGg7tqYY+DlvqWNQnGEA61bvz3kKQu0boEkDa2a/j9OqflY03ng+
aCaVGx78eIPhiG51gH0Uq2ZibURXRedMTCJmtXnrmJw8EnuLIRiUq1C0QWBEhsZDSN7pcoqegIB0
cwaSkTEsOGlw/HJg7yaQ/s0yfFGtrNZM42GROx4cAjhKg+7PoEHkg9IRSlVW2NYG+mHEF2cGT/iA
CVRNapLVG9t/mAnLmtZ9GOfQYexybwSRv4sJqdqYzNc0qMGwufMlNMwmIJd9TmUDIySfHwrld2vP
zspr1v94l8UUcnQ9YKwR93dNBDg80BhfJE4eXmiDTMKfwuiWl7x2Y+AGntpNtXwYuxqvsApbBUSC
QoO+JVnTmYXNJpL2FaG97jJ7FyVgRMKQ2/LKaYf2LKua4kFwDGBh4lDHBgKmyeYCVBE73/h2mF4l
ubdJxsJbAw5Ru6bx3YuoG76i7sAxHfRGvg5BdZ24cCpPByA6A9gdr7pGRytOtIdzZTcxndE2o1Sx
DdCabM5nsveWfWGU5iZoa4PpShCvgR4suwGw4HnEzrclJc4+rbJEnqBGNbZJJjW9zx/KZ7BI7mnW
BMtmCLqQHcSaoXyWoAqChQ0VOQoHL3KkrC+eGgng5cB6Z8rwteT5paFG5tao5lXfl/HW6Mnr8QTn
5BIvt4/JwNRGKWe+ToLYhlJO9LxH4uH56G2a7h719J1qnbOgy9xt75GV7DjfhvCHPcWnIuv246DC
U1Ab1LhWSiSmuqs58RHOoMKzEDcDal8nPeX5ICgTPdYzF/oVMIy7ht3/xVBob3Hc9i9e7ryR9Hc+
4j6DDYrprVx2iGsuJ81RziJaaZ2f/LRd3gjDbLy1MwgODOHobv2s/DIFjX8xOcMTgmqxzYcmXoVl
dNkW/rDmeF9ctbYDRSUmM3qZpyDacC52L82EnOyG/1Tl7vTYzzVdxiBD3WQSu2iSiUB1qCNGCWc3
qHo7eqwXzlAB+7eqc4nZHJMx8ReVe98CvdsZERZ2aZEDRS7VMwthfqLS/BuplXa8ro0m4JfG1vNk
VjO8BVG7e249iZ2ic08IEn1QIydEljaCgrOw56zAgX4lqJDu6igyyOwmDBFbqvCLfRwizN5KtBnr
2KwjwnC8bM+/KLdLON0zgPuuk9c3mIYhK1TZsMnGJrqRPj66XPpP+ExDJl8E1JwS+Tm8ZqNFXrHV
u4SsS3trN9MuDmn9jmIyrnzwEneMuTkVtVFwKTkYBUN/iaq9uHbp2pzbMvV2ch68ndc7Wxf+/Er5
kgQNm9OR3c2XESJgvOoUmLK/CmX4PRsCUk9mutll0W0nQ5zbxPhtck+GRMbLx8E17lsDB6uQrmQL
6r72vadOOFTyvLrcDkh2aJhHbzyRToyKO2NDUvFVZFnO2ejOy7U1Fd8WxxzXvj36JwjkDBKYB3MN
l5jKOSWQrI1PJ87LfsPPEEG6x6pLDMHcNmuaK2KbxeU+ZeTSAOfCAG4FFCB8+thZL2nfDiys4lvm
ymBbKXCFi91uIDxFa2yT1Za7Z1MRg0gLxrLfBoHMoWMut8Rs3ktLnsqGJclw55BGqcsi7FjNzoqd
C/bbVWSAnxSvhlDjng79vOumNn2dYrpEtLnOYOx887vxnLyjrbSsYq9aNuM6t+7ZK7rroRias9Kv
aVNUgjOWcs5JUVpO/ag6EcSErl0HR0vb38gq3M5AvAnGmk+GfCT1XqEqtywWnLiqThP6fWvZu+Pe
Mgv3tvUcKKtRNO9C1czQjrovKnSH6y6vzFWVBs+hw6pS1dk+j+hKZ3l0mVOPnzRR0a7RnIkVapdH
VWY7u80u6rL90QSBvzVrl5Mqv9d+Brl8VnXy2bb+D3tntiO5kWbpV2nU9VDgvgBTA4yT9CXcPfb9
hoiMiOS+k0bSnn4+plTqzGyV1NXoixlgUHUhKRePYJA0s/Of852quyl7536IrHJj0bOx5Q0z7Cjq
FpcFegGISGXPLL8/cETvcijdIFfNDhAmjM1tndkDqdthCcdSv/G6FI4ZhvUvHN++0I0HdWUq9UOD
z2pD8jfI2yiCVGL5JttoAE80fcVxUvmGUGem9JblJzNV7wrLMzl19aDZ/EOdqOlRL+OrvAFG6MXg
broS8S/F0Jwx8TxTFBsFlpE9YFu+VPtY3bsdc5i8ReLxRMeR3l7A1ogyeU/VvMKWlA3WW2yknp8n
FUyz+W3A80VY0gOhWJVco1jmmxRmAEUZqBjd0AHHm7tNU0UQ0TTlVrfbixgyj0+NfO7XRryPCxQ9
EgVpkFGq3tETtbeB8eGVV180Fp4rs3TPKhtrTyxBNmitn6v5kbHP09hp2V6x1XRrW1160tyS22YM
J94ol3pkW+p6n1R7Y+Yux1vr7ejmumHjAb9nxFAp8JBjA5kDnvSLeTF4jdQcMEce0A1bwK8Jm7JP
d0nejbSmxSdfmJLEbrfhFSV59brLFW6MfevycLKfSnftWClB4g23luh8W449FavWcIvnDbZT8Wzo
WXuQellSUkBtZ6edVKW5sSt71xmK/dWl5MxMI3pG5Es3sZ1IBQcMWZqGLxEsgG6l3U6xzecBNOcr
/VMEWGTkG3pxakTy7rAobkaD68bgmPR4yYUXTPjw4vlSE+KmnrOjPvRbsykwptMc5w+zgWaQgpCc
icc6VXVv5mWym00KmuLeZeFYpq1cjDcaDUHwDSctenXwUGyMOf0sqDHzlfUOZA6quEMTal3DHp3E
/3C0RtsJOuq5jtSK3ECcPE7e1IURwMFQluUuGqQME5h+SKJZzJGzCgmw4UG5x5dx0Oim5DXEua8o
MoLtM2Zl6rG8xXiwE+MrY1vttDplqKu1jK0Cnv40jrVycvtXtRUgd1foeGYEVtd+0EtDZzHcYn/k
LBjqMiuDZGqAgplT9YV1Fm+wlfuTYXT7vJpfYGY2TK/nCvrKZ2fqoWbPl4jQGycv3nFaP+sZoZbB
9mIwaYmxz0C2n1Mw8yet1a17CdXhEogud4v5pIzZW60LgwbG81jKcd828TstGAwUW3U+TUs/Y0qZ
iy36N9uWfuM54gQ48TiNLCYzZL4l72gEb+xLOIrnZFxCRlOSq8c0zpt0udUtW31JmTW4s26FTM76
vbGU/qx89nXYc/+38zWuunDSup2e0xf+OKovotYDyKMcrIqKMun8c7GqrdsUbCCHKrsGhlMEI8VA
G+pyBBJW8rTmdg4xpDTux5PD2/xeVUzatI21xGnU7aCsDPXC0Tt5g5xpAN1hkJcwQUPCV6oLtqPR
iZjPJlWqOyeLLgfFnnYCWuW5cOLGb/r5YYrYoVvJMYlj3v2jogTurMB01KJn3Sz3o8z6sJZKcjTz
rDhz+WfK2Kx9NJp8ofD67zsqcQIu1fg8Ks+WJ7b6Modsq+yNCngR2k5Ei4OpdXdUzxEGdfWLWJOH
nCdxx5bk3VbSkPaEo9rp/jiKD6p7L8kXUho29B9Y2Hd63VLOV6hHpY535M24YjIL6S5C4LBDSqLy
TabVgQmm4oLCUNeP0sLYSkfdjXOkHeGzj2GtNebTwkZp07qT4A4soVknPTYLqcozZiaXHHjfbDlO
FWy0m/5GxwRySJkYMAovKtRbAKg+BtXP3ir8BXVFm+d3Kl5jWAfm/JLzsHMAyXw53S2xxRCXm7De
DHT+pfmBPtlwYMW1Yg6wzkuTD/j/+ZOjPV7EU7KcJZOibSO0UJTU96SOry4oKsjiOvtf7vfxenTw
LnjZHd1QMuiquHxlWH3MIgXta7ql9LANjGhiVe76h4pdU7qwb+66Vvg0wzkXs2BsAYgYuT913md4
v77NVmIB9LeDCWgdO5uVChGsO5pLFUI0WDBBISAQpgGQ15rHFmHWYNVL4XuojrRJR7VVbfrQtCfQ
cFJfxs0onFpb5b/mPMuuO+aqkOgmEy8VgTqH4xCKmZJ8rYEv+rQ+8uLV2PmFstf6q0GodlgkcKgW
k2USW15M19bQBWzW7p1RMfaQIdq9omgM9huNfY+puVMwJ9OwwaXinftWjITVaaun8w/qBlONqPBb
LXMeCOZa/rTaU2q2UwdB+zCmw9ZOgMU7Y3XG+8KLiTUoDuH5ujtSQ2qotfkS8HHeNVg444tCjSi7
O7eHE16XzXatFoUZW6tvZj2elNIOIpw7B4/asCfdGvRAeLzmxdyOW2G22UGfvYhGPj4Cd8rdwLr8
yQ+3DQWwJ4w3tMTCM8koGSh69SNhb9NsoqhIPus2wZI4ooi549j4kgv5bvWmegKpp751qbR3Nlbd
Z1x982OO9uwXtVFvB+rdL6iaggGT+hZyaGpgXzG1M5KQtcs6NpojL8KryEsfgOdGpzn3qpuk1+0v
Qu1XFhbnhMDylCZYm2IfB6Jy+SbPhLys2jI/F8OQb7W5b/1MA5S2EHd/Hh3pXUxKGW1Rp4iluwWD
fvhQZ9IPXVDK6i1uu2szZX6QqGhJvdUqh6TPnEtuiHGrecwT+IGp9R3bvuY4pqX1otdLCSbWiqfH
2cuyi7E0NXSmyLxaGvqT0CIn9QLshHnE3CTv5oz9iF1oALbKaqDnZtbjK6dgP0xeHLdw4brQXjr3
aQJE/SEAsQZl5NbbOrKXcOpUuRUkdDdQs1kWJxmUcandmmTzDrre9M/ANpYTdtL6WKcy+ujgQGRo
QBUJDXREPPEKhS0fk4OQbaaOETSyfxgUrPt+r8TyY0zrcqOkWrRDKjWO9fyYkeV8c+aBBsHBHvZ6
qY43fWzGgUuDUJBVabGDzpb5du91xz7qZ5YwNhd5P60PT7vQ40YutBfsi9jjtXp0nZKd3avkso8a
nF9/ma2KHYJTvIOEpPi9YvSKxADyD3bxwHwyz287Tvjh/zB5kIEyo97KTDibUnjVMZKYkrpZxiF8
TjcoQB3xijG763/djvGnRosfLBn/L/kmqbj+MzvGdV28VR/fGye//YHf7BjmLwTHGcnbuHUNmzzX
79ZJfgURGGeFi5HQBrr8u3XSMn9x+Z2kTB2SbzgkccH+Zp00Pewd8Bkge+BAxCOu/Ut+jNUu+52Z
kdCMpZPvd/Huq7ioPb6G790YLAJap8ZCxTwH1Yz3POwezAExBQBVjLa4oTO5K6B72d61pP8yNPLc
mHf6iOPrVzsPP/X4Exp+scR19W/0tF7XKfSNv//tJ1/l+qWgrKkG1krCNIa1Oq2/M4bwfp1aYjEc
3sGphZxronDsulsUDv0vPNt/9UlrjuS7T+rrWGlwqKl+5Wn9DnmFUwmAwluQd+Ivglg/2ZW/fVOg
GwyMNya9efb6pXz3UYWjLVjFkF1iHLQ7KRjyzhqkL499Z1glYgxmsRZ6ES46UuUcvXx3I/4nr+n3
H//TNZXwyCl25uMTvCdXhoHwUsajuHUMjlV//lE/GeF//U7hDdiE8lxN+xYq/O47ree+i6yaO8lT
cvdUO1h5fNulXZsyTU9TQFEmIMD+/DN/Cvx8+0wHYzEPAtF6oDo/Xl1LkblpJXx7wPy+odUUFHI4
lX6PpHtJxRm92kkq93/+qT+13mP65U51oSSpJhk3/m39oX/3rS4kICvgh5q/FuQ9kd4aTzHo7SwE
F25HUOoRBHxy37oWWG7nBUygC/XQLVT0vkIBK+09rY5Y4wi1d21QV6szwqorxnWlSBKEhS4HBw8D
txbXTlagVvz5N/BH97+Hn4u4jmtq315W33/9tLDWwnUNzXdM8LgAwqJ872reNG+w99R/cQsSVeVy
/PSOYU/CpeIW56Vl/PRTWqTpzRXUHsRRSYd6j4Xb472Spje1S+KGXG7SRIEw1+4TWB7OiUilLjZD
Y6HvskKj3sYUFE4+kDzgoBqcz5OmEP8JJmdw2s1oVcawF4YDobHtkEIR6ob5fknQL7BLMC2jnmYu
H2QK2deHsUW3QWYNTEyc2BRiH0VN+5UaYTIDzK2qa5LEObsmiM8VZt40o1SNGowGDdFy9b3C/roO
3KwVECDHtEqvobCY077hVJL4VddqBVXhuXyFn9sUW8ziOD06d+xoJhxiBE9LmF/GEnjrNjIqaQV9
TmUbKONpCtSoweHhofW/azFu7w0Bpg7iutu6t9rsil3ncLjdDBocQ5w4LZNJW6GKIdT1ScmDGV/q
88BA4Ho0UBw2zCubB4Rk1TlPQtQ3Vo55nWK2kT1widPgwRuaGBxkWuhXuBTaFy4Toxd30scPF8ji
sh3NOF03fVEBcBQe6OdkJkiyk0bIzRfEF99tkwEfQ3gbSY8h5KZuMnpUrUG+93omF86gtfFsYWO5
ZE4Sf2qLPt2spCV9A9w5f6Ukq3Y5C0np4oNahpshn3U29HVjPS4AitDjanu5ywCZ4GBjo34nKQqL
6cqrxR0Gc/dWIqrAwxDILSBtXTwn8GHlvrHqApdJUY7jZlJdiW/LXWeWVee03gZXc1xvuCjOu13N
FLjLXEm/DqRW0NFMJT+ZUVsOG4pYPRFIXD3iyop7/QL7/NRsSm7/W1ZKpwhtPdUZDNUk0EArRrEq
drYymxAFOFeZF6kr9AhHIEyxbIcglj1U6KVY42P65FY9OxfkhJ3ugS27A86fesBmz8DRtA7YBex6
6wjKlDcmNrEBP35mjXhMOExw0MnMPtUvp6rE3mBqPY4FSpFs5oRlO9+QealogWOBoYmaF5mBb8Kw
56Ckb+t9BR/MocRog5sIw8dIMFMMrw1T+3arKIrExCYca9kvvcRsl5lO5m2ywRkeDBYw+AiALZDV
BoFOQdI5d0I2OD3IJlAWp9a0TGxReYWKI7Op8AU+ycu4TCJrr+PjI31Jo+50zmXT2UGlN/q0M7E4
Q1GnC9MOWiPiVhjA6qoa8xGcm0drsqzsoW7ZRG0GRYxmUNmyRY/MZ5epg7NMylnvxmVhPmR4Iqwa
xgnbphrm+RPRLJsPnM/538ZxJqDhi+7MxRdI8i4NFFPRX9YmnTyPvR0l4kqniTC5UruJTAU7svpI
1CPpgzSKR/WmaRXjyYL97pJ5W2oERTWmFapMqwryPDer4w9ZlyUMErxuoNCv9p5Uijvtg7koKLiR
Agbd12mLl4c+Sbrcx6OX3kobH1QAh8MEIawnlCHTooFlEHTaWeicOcCuqC2tTylMg00NQnPc2zFN
jSHzHN4gvDRrS3uCr5hcO008fdHwwopnukVTh0FQFUXta23bnRxw/Y9I+edEFy2uIF3rrPIIc6N1
9lT02IyZhBhW7bvpWh0tQa0IXV+VuTIuAAHVviCtss7Ude0AB14VAWAm+74g4CYIWUuHFZBOZ/rs
E1vHvTrmqJWT2XATYndj2BZlMWDaibqX+5YkabIvM41BdYGHANs5fxlMBWfOn4BuSBqoqDytfaru
bXuL2hzvcF3A8TfhMOj7fhn6+m60YCXyHFX2Yz7a4t7G+XCizyQ5A2WS42bOtYjGUcuMj9Qyz1tG
vpQ4xEbuzwj2m0SK5qGvjeiOEL6ocdMJK5ikRu1KQcv6G2kINKypJdUwVcttnzT9A0JifRLeMgT2
5IrHSFlGHuc4oh/WDju9H8JJmc8FoNnLLCveSN9himsju2OE1MiAATjk/r5Iwz5BZzP1yaHqFcdX
MigOKZSuLO4ZyzOpsUZNPWIkCNvcJe/ZoGVO2Uuc2TFg4AKL25gMFvwUajUpv/Oec+iXG+nENyvo
PN2njXWidjU6p3KOwtTA4i/ghE2zah8VDGWbmWaZLS+g/MIeGRnJRd6h4wRuBeTer1LaPzcNak7m
lXmITB0KjHiL5zBKMIXFvYEnbQM2pd+m2J22g9rsI6d9ImGyhpKa2X3ry94FEslZFRv8eMi7qHjx
Zua5E+ioXbnyWefZcndeXPBWoTt3CZHh3plZPuV5VIA4TsJljV4ICsv83I0Ego01Z+dsZjbIybw/
5j3yaJAhrZuTqe0oIampLXed6AvbmQMSa4Qurb9jWEamVkrttc0lfc5LymreZxSVl5BxwVxM1GZE
9VM0T/ZT1Mvm3uCth+Ii3RtMFkZYirrfGM74NUsa9EovOfZ9+87ouAtEW9zUFV7ymLGYomdPjuZc
U2o+74qSVTpfrxVB/yGMSZoE1N+N2JjUDpRYUYkDbDd1m1rJRZ9q9zpoRKZrhBs9vHTbKesZa8Hc
v1hynfluijeZxgsGFewNiJ9g6X2mcxx1LeriZadVunGZuZW5Gs5kFnT6lDNzogsZPb19Nas2uat0
MUIXV4cWRSACfx0iIV8X9mJvB7xcB3ax94blaJdTSonPRm+rK9fG55LSndOg1rp9/SWZ9MvMiy4Q
rAk1ZVp/cIdaXtSxc5WaNWVSY39KsDcRqiHxAsKY1wo92lC62foybamSr+wU3S8OgmlQekxhKNyc
ISmZ8ohPsafsdoSzqwo3421AgZJZQZNdaiRCHjid4YWISBnBDTS75NCkUt5Zk3FFpc0nPTUZ3NlF
34Nag3CkfsXTt2WTNlw1CoEiZDqUc6Ondq18xwPQBaZ0sV4a5lUyxeJ5tnrlYMrkJuesi26akXrR
scEFaqPUN1LVV6se0w1qlbYGxJNtWTlYNeBxOT2+NHu26MCS/jyRFEoxLbEbjA6pNdEzULh4Favl
pl5F48QpX2O8yXc0R1/kLsZVRR1p20Cr9Zi9RwzoB6d5A8TCAUbp7xSRHWix9sEzPg9GdE/t1UJ9
dXdsamL8TRK/0XsJ241jKBby6LIslNBOmzZk1JocG3qQEGp5MAbtvQclRiytppwNkW6X5GyXjahw
A9ApKsdSU/E9gJAQAyAz7uIMSwfXPrWf68WhTXtZvqpFmgZ0/AY9Yxk/7b4QOrc2eqSvNjS6cZqm
4OFcSNElI+3HYygVbzhRLcP7dqnPJhti6Gwp8/yCgQ/sszS1w2FRul3VGWIOVHua/KlubcF2pcMq
PMYeSpdFI6UMBvaO2GpjkOYwm5Yv+tjKbzMuXnvwgAhG5F26h4Mhb2h4jO+gCVZPyWQDzHeIOHHV
EAMhKRsQxzcQoNVPZyB3QcvLmLa+xj3X+kWKg5e22JKqFZZSLn1VTFbA/sSuDhrqKmFHxZIjBmtH
0umdgmI+NIwZLzOxROZWi8z6OsesEwFP9wh8qn1yobMCmxsOMyiNXafPB/pzvL0yO0nuS0nZ6Kbq
q9zBrZwYX1AiC+xoKniQEDZtxzB1LByWiEoNwEx6H1icNbHpGOAQWGmdOKVxypySbT8Nzqs3zqQG
+2qxxKGBD3PZo/BwGQl432dqKeKgSBz9Fjd5gXFD0bJLdQ17BZ1juG/aRKP6XYQCpXNTW33qk/7N
qYCiTBVSZ0e0IMCUSv5PYgQjQGDJmqgoEIYesbxRHzn23jWgi106q4kqbNSpLZjHVwkGVjVu+Gdh
Ck/bNOsQoYk0Rj8j9JYZFxK8r11ctyrVXKOSHjRD1K+xYaDpWpH+OHgI8rDBlNWU4KBFz0vFVWJw
hlgFMd+RfuPG9onJ0aAGUhcd/5mSTe50li5intpYPhJWSx8xm3OjajpOZM2dWcbWuoV0g6tZFIGM
ou61b/qMa7WaqtOIVCq2Nqe6ThYa40MYzQlrA3h1Phz0yquTtfhcaG1r9ppeLOOBvGb7GeELfS2n
StwQuZpe3dpsoU01C/mSGpxx6BSe9TR00UAKgbqQXQ7LfWCzLZ0ZJydCGSY3ioj8VI7aF5Gk3pMZ
ebyPaPbLeO9SvCoDaCb2AwBGm408NyYjNnzzt6bT1h+5KGkdd+KW8ck4t8sJnR1tzZSd4LgymlaL
k8GYxFY1Rot2Fop6X9Uysu4Nu2wYCjJmqMFUW00ELMMjj8L0ZuLNNS/UvdKjMn3YY2VQ8Fwxg2Ok
K1DYC2e4ifFzpBc9n3JbTOwOsJ5ECh4XmJeslxNV7ANxZ1h5hiu/RND/bxYlbvCbW3HxGEHeeBeF
Kq9yoBj1+piRQKbJpb0vMx33MS0FFs2Cg+dlRFOnAqP8iF+LvYzNpoW5eAz/AkDiq02ZNsj+WU/f
lV4FbRip2N1xBVg9I5lkSL9SAG1QnNNwCDIHp+8D9gjy2ZV1CzrKpcGFJKlYql2vN8XD3Ed46LSK
uYAyjmbGm7hrb0Uxc0BVZVXTTMCrNiYSUKkfbdSY0o8WdXL8Xo9tM5wYuMlwpqGJYZOclgF3y7Kc
UoPIEdYjHPKFcDsN65dCSrnDgSMZUs09tjPyoPj2ckhv+PqAm0Gd6xT8mTDiaKIpXGPL0Zf1Ipmy
2Fn9DNatQUM2AxK2+A/F4pj8tb3LHFMy+KbPlYHusE9sleIPRe+oVxnFEm+XIdYoZ8D5dyitJda2
eZINNEjZQzbscoF94GwVZPtpV9GzR4WyBQekgpncEI6gMlaxgGqGlpz6JmhbF79ObZQV7jzqzzjJ
kEH5dI1+THZeHRGTQHVRbt1End2N2oNYYfXonHxrNd30QLLUrn0HNrHCDrtqbzSZxrhiMAL3exct
o9ypsVHcdMPsmb6cezUK4bCJlBuLDHwocnI3G2fqeZ8zXmk5r4mtLL059qfGdp+iFJUSeilLFPUE
kT5uey3K4SL8nsf8A931Z4QamE9jTVk6noUyuWq/P0qEdm2CtTcoLC6qWb2VVpMdFjr+8HSyQuwU
AworbBSPBDQlA1kfcICuL5uZCbJmN8q9Tvb2DEst0f5CMV21th+0OL4u6C0gWJD9gIT9JF1CD+jz
PI+JTBvLi0izkQ06GNB6JCTIhkz9dSb0TzX9P/g4E7azAaIEiI2m/SR/53Hb2eNq1sYWSJFCtGgB
vcrpnuqar67lGbs/v+zrVf3pu0OB1pAgddNZ2Zw/XnXSP5SMqBQ+DDKJ+re2jjr3sYyrOjSTRFle
nUnRckILcx1Ka7D/Qun8A1kVZYbtMTKL6ZjWT9e2UkvGtyVjhYWXOE3HEeTxwVZ3SlVNfzEr+Q/X
FdAZXA1bBYECjcf6aYIhbNrUcL6p/twtctviQ8FjOBr0heGfbAk5hn9+Yf/gW1u/KWBhBhMp2/np
5+iMtCFaDeK+7kDIh7E1H3nueRMryvwXP8P/8FEuTw5slxVbB1ZJ/emj1uqZLkkKPip2qXuC8bOt
LM4HhtSsXxFR/z38lh+mlX861/y/kPTCg/H76yp4G97+7bMCpLBcvpWff//b/64+6P7kjfbrfzx8
/P1v/P5fx5XaLw6DQN5czCUdGk3WePZvpJdfAD+RD/cIbq8DLf3fx5UmpBeYX8BhQEb+NuP8x7hS
/4UnglfhOhFiWKn/S6QXb0W5fPeAc/+RQgeaAMreXp/vnx5wHUQ+FApCGFFUq19SkTnX5lzPhBAk
E2+V/hmmlfUhGhz3QTjFgMWpVR6Ii58gP8U7j3ORh6EA9gf9eYu4Qrh3WY3m9HHucOKlTJrCWLbu
Fk4rgchZvJdq9yrjQgSU2d9EIA52DhmacB49El70+x0KdCZfpTJnPTF1r52Wvraz+9JMHMGr2jgu
c/QAvNjY4mTALcWhDaelsnZoPTTQii4RdT5BPtOJKSnKjs2AwHP51C5ChGA06R4nn7wzdKyuGnZL
cjikUwYUtHdTUVnqi/Is8oo9JQ5BJjgQ1cipbrpmgRQqXYoJtYUkdC9BgHisiMvEsSpSajvIp+E4
dJqyJb5VhZLu6u0wdXHY1MZHDVUwSCcO0zkDg9FNxD1jqFsjbj6iXHkyRUQYtE+tr8qsXXCAI12a
k42C4rH3ap068xw3LYcAeSGFW/0Xntr7uuT///OHJ+8bQejfmQ//1GDww4O9+6zXh6L/+a/64W/u
/9e3X2aMvT5LP/xL+O25uhk/V95SPxbDPzhG6+/8z/7ibw/i/dLwdL7X4x/Tm5jT/NlTfa6r4bP6
hPn//YP97Q/95kRQfzEsnlxVZc4POm2F7f72aLs8pNgM2Kzway6iyu9OBNP4xbJQzVcAt2kwd+Cp
/8ejrf1CG52nOa4GdQv2ovevOBH4/T8929pqeYB7x/P9K770x8VbsRSd8UaBGQZbNr6iekXAjGIw
e9y7KxpmXoOr5jdgDHtWtk5xRnqH4EYxxPtC0zM7bJYZ4z9SlRpWLB+nvh96GWYEmFPqwgDTmLoE
n1TanfPB6AlyTY/7ujhZK9BmKqyyDFq9aIEjwbpxTMTKncmsaFsuAwIAcl9LDdiKyKHnTFyZ38A5
M7AEJnVatjwUM8e2iMb2iKT7ytpxR9Pd1kL2FO5OjfFAayFiOJVTMHpUuRLVYRm9LoAlz6YR42uu
e6d/MCAbcO7mCkCMoXRTQ0+tlQyXENAG1dLKcaNoFt5ewvkqMCXFuKkN0/y02wJWhmZ29YUJribD
YVynVBeAuH0Z5qHGlm4MNYMkStiaoCLUjyfbspoTy0F+4apNM14Wy6C7O06Qyd7osCUxjQS1vzfJ
MN4X0sBurDKsIVBbOLnvQLe8zG1pd37C5X4haG899T1vq82CTH505CyWDRavek2QZQhSjVeH2qQ3
i99mSzP4DdPwmmuji2vVZW6z4ZgsHlrFxsSMZohmFFvR7CCLkTXcjI7LN9GYS/41BwRwnq05vyLa
ZXyxqtFAQQOgNGxc0qp2UI/Y6s8QNimfTIWe8eMdtb1XakUAO2VGiBPuGFZyLg96zsQANSiB2JQq
XX/N6HbbeiMqRQsD7wTTK31qtcZ7tPVBxSpMYufCGUcEnSL1FL6XYoBFVVrerZMrxSM3OGeaUTDX
CV16HYtQiSj82vT4Ab1g6PKuu8yh7lxLhgFHMlouLvq0xgxicvO5ZPoa7bHUC43b39I4VU4TybXY
atssjKMe02+sxG8qvXRZALhEezBtRbylKjPIoJ/XTHBBZ3GN9mwONkbX2KGgFfwQ/P7G6V5UVZJZ
ARY1n+NcoZQq5iAvN3mdD7d5PETnKVtUPsMz0woaZoLPVq/T4lBWFB36Kb5Lb4NQzHKluGN+3XuV
gzLskE9EWW6wk7oycTjY6MQj19kUTuRE6fkEC9QsyV3dti+pTmFapLXmcGVmoiYeOU+iC9pZTT8T
nRnCQaqNOHtKH19YvIH2wJ7ALdv1AMyLcGFXXtSm0RzgINKzaJUUuSOax1AMNFUgpsnROC/RpAYD
VSc3jGpVppJZRKJnSU2CIGXSqzdlypj00BjKfKIFlmbXpOLwQBrJ08z7oXQIzvAWFfavTpn/v+38
m7Z62P75xvOuqMVb/iO56Nsf+W2B0n+xiNFrLFCOAxpo3WH+tkDZ+OGMdQmyONdxcmXf9w90EShB
DV0bP8s3TtH3C5TzC8xC1ifd5aCr0YHyryxQ/MF1d/nd7pMvyMYdvprTGE7iuP5p99n3JAoKGN5+
1JV68gIgDbh05amC+mpyxLnf6J1G/NezU0J0hlV8uFkUcy9qgSPGeo0JLuSkvAhOCZ53dycjI3td
RFodoklvXxhxjJu01LznuIzmxzLrsRGp8h4RDA2I8l+e7qa8l/T77Sacyf5iOPknDBPgKGaePE+O
kJjY2HdiRD6VZEb3aksfsdOJ6l03lzSgSUk8wmOjppKCTPazg3JqMhzwG5cJxtZypnKvq9CDltbu
Lsyh+tKpj9RXb/L4FdF4m2bm+5QBU8qvE/OxiaLyhiliG1qkBA4yJu5LFu0DFnZ5hz1hvppwyJCe
r/Xhknea9SVehH47OrW8cbLEfq4WclGB7erlTo9JqJXZZN9k9IgdPGEPFxkhCCIx7kAIAhXX8mhH
nAELqqS+9xGM703bFFRbx4wpvbFu9xNC8TNDE/Mywjnj49Dpy5mwBD1pLOHUvuEhw/oss4fRocKJ
Lk529qGtJvPJAB9yhNcoWa5zqn3MODmNFpE1FHuMu9a7RugnGJhdX1cMIc8CfesE6Vmjy1spWLbS
a9dotGAwVIpGmyi7mXLvkZR4whlddY8kEvkWCjpZbNojLlAmULy1/sIuS3xEnflBUNgm8kXQw7Wr
e3ZD1tlLmo7C7GHeITlUp1lvkF6NLH6acABvAPJ2fsu87CFLrZdWja1rZYgiX2kd41THSbODAzej
Za7ZeuRJc0f95nuUgQCfgAbtc0sq9DKXUWh0Rv22iuN9Q/+nlXU3tjLq58kYJuwbw9fG0wlWFs2o
XZVLBJ2F1zD99cMcKi1FJnYl1aOELoJ/mXT2rUs5qT8LAWaGhpOdkCNCCJqiL9iEPGqTgwtccOHI
hKlPQOUeGHSII8JeTC64by/odiKAgrwbwC3wmwZARgnH3HenFh4Rc8nFB+U+XUQTNYl0QpqvjTG1
u3UwEiRdo54lw/cQsqDcibrVQ3Oxo6usdttzA9poYEKWlZAxsvml0ueFfHcxXtWVYzInXWYEqmF5
UvkjaItpHB9KY+CsY6j0xC2Ds6eoOGb0ZjlXZGbYugy5Vz9Wplz8vCN7XbnlQk4KC1M8684FI3m4
lI0EZZSm0QNjEe7orF+OOgGeba543ftgcnQcGk3iXYtZymOjO0RRivuF83l10RWNdgCeaGzjLH/B
8EYQk6CRXxatGhZxdjt7BNThEk7eB3fPm5cxu+rlDKdkqmuc+xR10LsKkm9C0O8bWe0Sjsx+r9Yx
oWZQfm6SjSHoJpKiyGM8IlmyLUXbHksn9g54y7EiOC1uKCltAEymwxsoV+BfU4h9haehuyvTVFyo
Tg1Gos4z0AhQKizNxFqim1mLW8y7p7+3PRoxZjaYvg6XSVn0jR3pymGkppkaokbfV1As35JK4qXB
GIehJKaxUyPRQw6kPbpYhe6UVNexBpsnXdZny7XTF912b6ENvEBnHDm75jqEAKU5JQkmdyWP77A1
YCuw7auEgCW7FLKZVJ4WeGzgerLnGIPi/7B3JkuSG1my/ZWWt0eKYTRg6w74FB5zxpCxgWRMmCfD
jK/vgyTZlckusqR69Ra1IIXCYpRnONwBu1dVj7YZCdTG7UhPIsBqyBz8eSquYDVm59AQsJ4iS75a
2TwjBEzUfxeWvC/pgFk2mKeJ3oZ2kPbjSDDJdM6q8Cy+E13E4RqLUlCxNzvOjriJ9PQVdIAFIiKY
JQ2fvfUSaQeHKJzvVGBMTSAkU928ku6wql0Rj2fAMdkhJqrBDK8l5D/RQK+RUiHN1eYxw+5qS68O
SJsSVe6IgmfJUAex0on/1qM6QkclGNeOT1pmp4EQYKrtdFuK0LZRX90t+bsb9n5oY1LzTSMbLiJk
sWPv2Jxfu3Il87T3IGKvZ32Vdu3BCFozK676TBtuRkTcJ0GeLugN7QVhudtMke3e9EVq7pRTBskQ
PpfUrjfG2B3UbJArsbyDY7knwcB1L5d0p8dZv9dGeZRds8MeKS6kxz/BxZ3rQEQr5mNuql00aqfJ
9D7hV9/QEZoFqtEwAUycgr2oDjR91K/Ixdcny0kaXxY2xgflLm/d0KS+2/I9TZ0aPwOGjMixszPW
YLSMNeW61sFw9ef6k8bKb3FNtMfSCuOrVqLTi9wE5TWNHwkCJQFDPT4M+HkOi6HZ3xIncc9tHctg
LU7GqmldgLlwgyrEEsL8Z20m5KZTxaP8mLqSNvAla85u3V9Os5pPsvA4I+i3fMnY+cdjtjUSdFa5
XOlulhLxxgtAU68erCHI47yM5Zq90tudO7jkSQarFztnVXRQcXFUDOHwYOtmfcitcdzLxRRXFVjQ
qjWIqYpIHp12NI9OrD6HOM93buwpdHOvcu+zOsR1wqi/bZskwoVOnKxFEbM2QkYZy6LQvmuwUF1F
IIpvqHfAjovHYj8zGdwh68G0LahQ6skfXRaUQO2apq+Py5xXFzHJsKOW0ASCJYL6UZVqD2KIja0N
fnY3zylPu25JQGmIxFoevChJq43r1u2H5c5Lgi8RXIBqRtxBPCdes9BGdWIDePKw1iGbat1juvT9
TTpQuMX+c3ynLrIinKlh+EpFHl0WaeYGjgZLdhzOEoPNzlrt170QO+KIzRHlG1ORweSVxvc2w8t7
Nlq8sTyyjzlS2XkwuyFAoJ6CEDccdpqVGJznDgwx3EXXUzrbB2CxExAGwz0MuRu9tNrCUc89Uu1z
MRnzhSOnTWZpO6cRqK2IdDUB1UyEpyyBQpKWB+WlFz2izbZZuHmP+Ph2MTlNG19IEs3mqRpqa6Oh
cPpmbvpJ1ufnyi2sXdOW+4yuqMUL69t5cORtHzrFbirGaudE85smtGNYw5pp6euZ5pu5u0i6aKNX
yd6sU1+m0bcpa83Anioi4uWVG00LGaf5oqMKcFvxQd73tnqiN/RyoArYquDkOUK1uOEQflW3DYvu
u5fNxpYhV9sbQBv1qmFnnx8K0F/5vJQsTYQPxuEtBi7qxykfYr4ju6Tg3Kep3tsTvA76bHxttBfi
dFAswS5PFAop2zcXBQXSm+/m2b5zQ7VzJt7JqdXRPFPrnPbZwxDBNnby6ivdRCavxakrqi5cNGro
HdceFvBttdh7nMVsWuARbFMSlxsS0RCho+Fd6cbomyOYMKFhKTNhA2P1Js3NGRxeUnHUjPCN2OOj
7UDT7y8Ljt4Ed/U00ERxR3kEv8MAGCPdDOymNlQMmXxpuNHETNxjrpNxNGMDB264IAoleyvSv2aa
POipTdk788Q1UvR7PE4XU9wB6ZoLJxiha3eWGWSifzHL6r7q8vdBRZ9h1gSjSA9xCSyuHtReJZxY
5mw2fSrObyks6gkMF8VZE069MwcOv/3Qn+e583xdFHDrjF28riyauMd8OHK+zrn4QGBs957dwJaJ
YNjWNOXuouEpNmuNgKbePC6ow9gPrlbTzQY9HekUXaYy8weMyHiD6uYxksYpnfwBjOlmhjd8O0Wp
H+pAUXurOukAs64BgY1PxnrrBHno1a9gwr8Oy2rsAkd8Rk8Gh0fWGX/rPPUHpZqvtZ2QH+/cckPn
/XaCknVV2qU6aXpJVSzN4OmWT573XDclCE0IOJ/Ase0XJHncABBj5+LEiZ+LWnVBE7Xk7h342VN9
lfFRZL6gpNjOLWJ/cYTD2iYj+zGYHiSxHsRFxSbKQX7YmVh8AgL0Awe4UrsaVVL7iOSv/HanXNMu
C/yyvnTa4VoMmfvQuQ4Bh2ISUP/skIPRQtWzxnos4//WV66yN1nRt096ShBIesN1off6Ll7yaj90
jXah2UoAJvCKy8aLnAc3E8WGw0tNgFpWgPvuZpNkQu5xs3NJKFDokuI0M0Ls4N33ocs3uef6I5dw
Ec58xva4wSdLSti4qkAX1klTATgp8WdAQpmH9NusuuoaKgXh3mw4ZeV6d5qHbJeNUdCN7hXdbgIG
/dDsYoINl5xLnI09jqSMzWnH9+5ylv0LCWFnZ03LJX59HnrskY9DivbSIm0c+8a94TFgbLQlvOjG
rgryqpnwsujMFs34UZLhZ+KJqOTuwtMwlhz2FQxU7HhgYxo17avYvAQ+eAfQKN0xSVJ3EtV4KmTy
DCaF50eBk5eNbng9iM6BoUS0MuSW6kvNAjlOZyaGNWfrUie5y3JT7jwnArdSfbXy4rEUeK5yz/kc
dO8eOeeOJ6JfJgkYD00eEUWwxhiOwEiB/5bYKt/jfAa/MRY8eMn14Mnlz1l7ipbibrktxhFUSZl/
N6Ks5lY2a36WOhwi3C6htn0x3ojjQeBkkkxS0i6lvRdleCqzKvc1fSiCyK3XTV9dPOmOF0hcMKfW
BsMO64gnscvNNZWPhh5hGvLsU4aNr8k97JaYdXvPnI61Dm9QLtxYl1i7G8BeonTblzkUFm5god8C
fMA8aZNlD+U3qOI6zxsnv1SkLAKIim+d0T9yOLruC0Gx1LLcGnZyASH+G/wNCzcDJ6DCNnwXeZuT
SarviV89WZnEzWeVnM1dIwwaNZaMQ9Vj5a0e7DXSZDpJtOHQm+85dtYfblLMp9Zs8AGBd2eoywvm
e7t/71Pd5VM81RPrUi93j3Oppc+V63aXtmx7FtN5FK3JAj7xeLK+E38w9mBrhpKJKMtPVB+Ez9oy
mE8LrWMb20m0iwSs8zZajUPYz+G6mNGyn+PCO0Knrx+Mnu9YWLQm5B1notZRSA6Z86DHPK5moAFe
YT8VWj4CbvWSZ2wxLAYW7tIbKQwHtAWeyCunMeddJXLna130b/3UFkdQqcWpqUAJk1IhSD5zPAbd
txboGRHATVmdtcQCMtx30pddJW8NsbqJskocueslX0vbWRe5Qrvylpkn74+skx1a7VVnGmXKrlX7
ToC4u+07tMqO7oFPrWDuy5ZZv/RSb/pKyLg8CJICuPTspdw0fEnB06bNUzJM4tDRIXTkyzhc84Uy
rK0xF+4GhEABgRjOw71uh5q5qStoGE5dNndYfNKXvnUE05eCixYb5GbiVrurvGa5cBkHtkbLXK/A
cwZmAeTOyUJ3F1GgCUu41fyOLfIOe3Qabuoal61n5BwelQNobdKri1xrSUGbrfOqalNe6H3rnXgX
0TFiSf2Z1Q686NLyRRxMMw9wfvIYn0qrSILanUOTdXQ9cY2NaTd6pto1/eheZIRExLYYxpaTjUwW
QGjAwjpy5tdujCAxSBdaQRmu4fLEdr45cyEuVdR123mwkQqarDll1G/7qsDpbNCEzPMoC3fUTqUP
jhV9R6lNbic5f1/TiBTPSW3feLE62iFetNyDCUZLkRUAWrDWSwg5yxOc/ipiCD1pl+Ky4ITiJ4I1
Xbgcq6pkTbJsKT3dFkiyGfQNyB5fCZcibGSxXxPyercRQk4c9D1fk/ZySLTGPaAH1fu47AUMVdv8
VlIqm5aY/7CKtzQzQiEHq6i0G/x6nbe1piI+aaJNDkqzvLdKVPXB65X2Wvdzsusqo987Kq7joKN1
5cFF/rov5fKRahi/SzlMm5Jl+x07epqi2dBsx0lFN9C0K3SdCQhk4apDI6fhZtLH5tYyavnE3SV/
8gY7+RrFobwSYor3ldGad2EfcQ/IdY3lpeFZxyXR88eyca4MK6IGAZzMmuEfw/E+yy1OdPitaDTD
/DeVZNfS4ooMiflkEgS9nNymAM8RgamC0ZmKI653/RpC2SiDtbTlnFW9krgstXQv5VzdwDas7iy2
NqwFMLh9I5oA9y9J7Oh55LFFtIpbwj29ZeQHbFcTOmsmMzICwBbdRW6m/xdt4G/NJr+o13+pcf9/
KF+vPTp/LQ1s+jyCc/GLKWX9id+VAfcLVif0Z2xBhMPRqP9QBgwDUVvSarCqxhamKP6XP5QB64ux
6tJIOxQX2Q7Wk5+ka3p9HH6KhhY0ZxK+f+j2N78t/JH8eaf/Iri+Zvh/FgYwpNjm+ocTOJ/xqEhM
Mz8Hainl5fQNsgG1K6J11swM3Kk2hwUYkIJnFuGibZ2FkNPp5XI+cHMC783MvtD54rfpk+M2DtwY
QipXCooV6CurT0sfqKoebjG+Ls985Mnc2Yr+go2OHxMGL/9abrPJNlhCGpPCgk4F+N1ilh5lQnwF
OlgmNSo5RaDuba/ZUtvolKFFG/KrcF5KI4/ou/Ei/Z3IavQ9LWxIFvEcnrtw4WWHaMpCjCS1FEdp
52w4svDD0Akm91lEMJdmnnjHg/5pKIqdkPa1YRbXsd3x9OUEPrqXmh2fMw53XoG3ljNlONDa3mgB
RPoA/0gQ19MhZB40Wv3Af5dwUjKHYJXQj40bLVtubWZ3M2FYfbWNR+WxfdqI2LhMXeWX6OM0nQSu
dA6tqL83nbwKWRiXbnpRN94D7NXb2QUOrKVdgHEMLhnhKozGBNRy3gZWejTq4TFo5vVvDAgYyjex
KwALmTM/gpIaxkDyFO3BvfkcyWo3Mw+qBlT4rmhgf9IH2LnLYUos7l2x/WI0k/eNk+awS7rUalDy
CTf5FXr21mG3/6SZY/Ssw7/HaG7m2sdozBYZt2S2LgdVtBm3ZHzdE9APRQybsB5B54RTEJ1+Nfr3
ILKHRCEcp66GYTOJTIvtYC73XVnLizwzWWlmaX8i0KWGjeHEyR0skvghIR0yM1kiIW/qtuHc5EBg
2yl9JJBcFnGU+ElLk0HkEVTcmK2eXOR8mJE9nDbIZFfcCqefd2I2xW6cgdsKNd2PbLhcX4pw/BSJ
x+Pbgbyd6SVW+pxC9MA2rPJzbbuH3DRMhy4CKpnZoee7NpmnTlbtoWnpCWh5GL3NXYlHWbPBcg5G
gZ5P9xQyd/0WWf0YpDRafFJ1ZKwAI7lrw4I8racXs3uSOL/odJoqACrJ2CTY3TtksW1YhdV7B+zp
OWa0fzKU7MvDqGjU3uij6d2aecoE01UtFxibmXpXnBYep8XLn0Td5fjDB9u+majLJblruvKliov2
SXEGe50hRjCRsb9L/DJtyzNyDAEyyoIMZhDR2NdhyEYIQH3pvZnFOPMZiw3vYfaKAVxAIbGOwANq
X/H2koSM52gk4UEkuAriBgreLnfoMNsmtTee6WyHLDtNIvtoLfzMW6Oe1LkdrVBsqRrjVx84ehbo
MsYQn6vcKj7w1oxv0iTTdqUXSaVeszQjTRaPLIoaAeqdK6rVPUsXK292UlWhe5BNpJOonbPO8vkL
eBTsNPOZDw+/I3enH0FtQufzZLHUgJBcTr6EYVqdyVanyTETpdMeqw64+yUGeXtb2lhsbvNe9dyB
sgTIs8EXgDYBGg5w6nXZrB1MMtz6GZt6Am2bcq0WhpSK5y1HExFeLW2HQY1onmYFrBJispVREna+
kRqcN6wIeYUKJia2LcEch7exNZVB8mq90xQxlZHIhGMUX0U6X2tiSlMjNyO2FKwyfOxOcDjFt8Hi
uB7gsU1EUFteD2TeIaS/Txhl1N7CEwA8HNvFQHSqN50dQ6bOZt3CJBOMFp6Upzhux+sEFVkP8rmA
9Mgd1qkCz1LCPMCPhqKtj9DML4AfeG9UmKmBPwts6g2VbaaxnbqS0iq2RMvEdpo6iS3ULq85N17r
dse6Dzsdziic4F01efLZqzxvOcT0jie+Gt2wZc8K8fpoEAEmKxLG0Ec1r4Q4Zbu2VpxMcoseR7yw
HM8wP8o8CG2gtuQl3P5mylvzaq7mFrNyrTosJqx+q4MzjoIUvS6xBaqG+orA1cPaCNhAh/re5HvL
1JuI3AiWOBqhW5gO7qGp65IPQFwsBjUCmfO1dKrCOUs0PqZPF+u7GPgYk64qJECFqHatwBw8x95R
Q+lZm1ThRTyOMI6+e/RGncMGuPHG8PL+VEQ5aF4eAeCc+MFB380DLP/NMnXDRc26Nt2GPDoR6OCi
4jEi/G4fNU/0MBiyRVrsBSY8RJ2WWS+qTK0I4OsgKDYQM1wOvPkFvunBuegnAn5MwplzHoHDpZAY
4hBwQB9afAD0PkP4GiYmmojUI8U5vdZ0nD3pDth6PHf4N4VZEn2YJKEJfGVE/MdYuTX5QkJMTLJm
+zL3kuymV4esvvUklfTkpmEmwaOkuhWE1rzom4HiMA+ibgxiygmdiQJTcu8KyWup3gvgaK89OLtk
22A+4hOLoehM+3z9QfbE5CQOgmPeJhDg2GdHjd/qxv3qZcE5SrbJF2s7T2aTPaAvfU3lskIwfWXm
85nt3PhkWQWhPKODBKi3FH206Wi8shNnPo7CMSGpMurJacii9iIfqPUNCNmUOaFb9L89vgntlqbz
JdkNURV9s+VjZK+F3IXVv5Pjm/Mrd7CmBx5PpukbUc6ql7WP92aFkm2Ls3Tz9TxrNE/EKIKPKffl
cJOnEjqslvfQDXiDnXs4feYbGz3omcZog78oxVi/uaXbwsekSc3cE2FCORlFSNGIBBpzRAvGfVdM
Rfc8gwyVNOaMGJi8Tncwk5JDsMPRfLdkRLxRaybzxRhNtLLOkm7vV7Mz0HJD1S63PoGk6eeOq39G
Yz1a4L+BTuw8285w7y4kkNgDdSTuXbshnrtklbyrEA7I3CxZ+0avQ091zNhz+TrCjd2GwCUXibUk
TyPhcVAxjRlAiUvwqZN5fmeqpilIA+UECUj9s1mPYZbyaZKeArw5pxnUa3b9ud+WE6kltaxY5Nqc
ySeWcMLAvmeoLLV0ky0PaG1iM1g1t3FINBVocBq/8J313jEnjiwToRCEG3t24aynUQwSyYQxnu5q
I57ucmGVt11i6t/xkFZ8IWl2SgLa4DqqKIUbzgFGv+ZU5Yqzx1TG4IWh601sxKsUwVsWw8yOFgnH
ChZBjxCS5GK8YkvMXjv+jjoTroWReaESEkaenVjbH8PEfyxX/2+dav5mrKpaOl3/CzzZfx0+1PIR
VZiJfhmy1p//3fq/Oqk8vFRsYAjR4Af+Y8jS7S+SMmoTcz/yHsMOP/PHkGV/MVjMGcRQLLJXiPf/
GLJWO5cJZYjWEoP8J0Pbn4aqvxuyCJv8acjSpYmiT9yFTAjgJXsdwn6iLk19WdvFwB3fGlRLLnOy
Qo3FXc6x44eh0StrAOJTT1hs+WF5dNXSO9vihxUS5wm2yPSHRdIif/g9wsrz0Mbgfv0QncrmA6tU
Gkxs9lh9/7BdTi6rB0DsqyWzdvKRTpNhgqfIdo/n0+SErbqyxVSCmW9n8UkZKkyv7ofrs4eNw0l7
NYNqNnUOLCINRprSTnkmhZaHffSHkzQhavHorfZStRpN1Q/PqZ679v34w40a2ivXqlpNqiH+m5Fn
uGTVW1EKd9B/uFohfAuKx9xRXQILd5d9YbTqwh1G7n9olU4QyV5dIBV596Lw9MtkDnPf4e4aI3DB
2uYRl14lM9LXlornmvuWyUBH5pJyDbRd9P4yzJ7DKFIXQItZlTUOWeFtkmG1Ivo4JyxUG4pcN5qZ
Nnds7rvPFqtFeAGne6r8Bo8LsfIi8RKEtlwhhww8DQ+LRW7vDNg7GTCoEuHTG5FzdGfpxGhZe8kL
MqwcWKpL7xpgjR2DKR9tjKcDqq6Wts6LBueQILksh7cqE/JNo++CfDfyGPol9a5QEcCCR4TC0fJc
WAwAi8L4QWqmTXGXZJPnM1RlV4VbdFet0QpsKO6whnrjkE9Z7DJMbFJdN84OEvkLhJlwprMoMR4N
pYljBlzZhlFCZ15BYEptefPp0VkAfTvUGljJw5CnCIp8L+qHFHPTaxk7nBR6MDHupimK5YklGRJh
QfxVC+Rs/XhpQfoZQBdcIHyS9s0yJCwJqlo6cNRo4obYbykjvHCc3sgBl0JSgoXk6BfpvJqla2xG
eH3TdPUFOHF3PyzW6hKTPWh20LNH0HpVeqznpn/N02K8gpKSvSaT6K4mh8JsgJHruZzdmgFWywnv
O09Fa7a55eSXh2k5bFUDQ9bXk6R4HmHwl4FWaAxgmNb2MHiXm1lyEX0zG+VLGxkmNQ+Q4bC/l8Ws
bxe3je81j+IfCACz+5akg/bkspKhzFAbNJYQ43xbSiMcDja4tBzVe61T65Mxu6jDrNYviSy7hMG0
UKRAFVTEaSly9Ef0O4jw2dB2X9FCWJpqqMcuBA/AHScUnF5sG4xHPL8z4tpXJGUmczvrnvUucgrH
qIvXlpsMeupTMuXGmxcW6qMczWYt4yl42+bsti3H8bmw9fE5F0Z2Z9JlOO+pti1ZWk9xPe4xDkJl
Ae/j3oUD8bZNKHVcFLo9YQWa9BlpHm6L8tjLio4Z3c3HWw/XtsFQVJjQwSDzm339RJft8kZ/LMpU
LxIoQbMuWAE0JpWt3mQ3CNiwP05dW5N/dtkrv8Nbsr7p3bCYfpsoZkzDHaW9VejGAZpfReYcP1Qe
VFHm3a7+fFj69WjWND3gU9oMkzSbvUdvAX52K7zDWT5xVUJm2mkIcYdpDcurDcIXbTdq6kiT8221
+V7LevpYOP/eLmM449UUGnIoXHNO/xUB5Q2uVo2aiyUb33hKaKXPlI/3n2xjfaF5C9UPfAUosjWc
NI8D7OHTU1sZ5UiNRAK1vAN0sWzoNUqqc1rFDNbgeIlOaKxK2OIuoiuuikiVby7GPt7GcexvQy8G
9azsyr4zZCM+2ikz19z7otNq6JrY4pduMRDzvGXdu4NkzU40BsTTVuLaRDhOEBw3pVh0Y8PsAmjD
qz08/0Pk0KwlJ85Hia3oWgG2bTzqNFTIPTgFxzrQ/+He03XHzqhw6tzeaUA8r/hg4fRxVJfWt3SF
OeiSLRdpqzMBf9KNQb9IExV2eg+AM89P5Dk17cFBkK9vYx5X3lYya+iBNGTnXkSeHdUk1XVPw3TF
asIbccaw1khAMWTQCCSuMs24Ek623FVAEHXf02IIsoZ0pte+LPMnB02+P2DukECydbp0Spxzbx3V
pNcDV69B7JMRs4R3HYu+RPfW+DptkjZbvUB9HL/8dB75fZn6M/Xzz6tT5mPXwhZnCs+WJoHPX5/q
/+DVel3a3hQrm5antkTYYCo1YED7+cqwnVOk3v+cCbt5TXNidf/pIvyv/Of5ezf8umn/8QP/s2o3
YK6TD/M8V/yyahdfcLjZ3BMRNnWu2j9M+Lb7hcwup0fDMRyGRp2z2+8pMdv+4rDTtjDhr0v6fzMl
xjP+11MgNzYAsZQY85fJAvjP9cEZSlsp3VT6nFLLz8LrvG8lD9vFr6J+n7NX+sjKAVhaHxHCDJc8
6wN3JukimrYBzeLl1iMkNMR5TdeUJArlRCmUKXp606XG+K5cYl+M9pkEHl4Z2PkrC6qDH3pNhV7u
AKJPXdtxTt7US7TOfqCRruBe/WPDufLTZ1HtdFuGtN10mUPh5BhnX3nX6BPn1jy9TRSHavvCtjos
tbXbik1U6QIE0DjOOTaFiUVmDKsmDegWXEEMFjsZewrZoXLaTZ95hljoUs7gYTWZG1VTHx5D4GEj
bX7Pk6lBnKM3nvscrCFxgAKlnSgzRAxvx+Vm8MLys8UcgPusKny8itMdW0l1y1FTsiNYjJYFNxyJ
7wXugv5p5qmQsfAQ3mVnFPOVbcwz83VqzY/zPFGpN/V1vNY2JsUuUa7+bS5tRG6nBvKya8pweeZE
V8c+j9aaYsRWwfADCkuigBg4DDXTAS0ZD5rSKfzr5LsatQQYWRdbOK3qxL6UvQMojF0XPO0Ewvhn
bEfJY2TxMkEOdjnblu06PEKXjFk/C2CAeuzJ5ZTOKnqYawtrhleMC/pjDqej7GN7AhFGzzL0Op0T
W9610WMnUgARqkDK3uPx4xBGzAlJoHYIZZzYkIcdzxDQxUGZx/iF54xn8jZcSnkcZ+hm24jekPce
D8YJ5xQ6OqUREYjMIeuv2ryOjX1j8OtweU2yHBaFDfauXob+NBcGQHhIPmvIAuK6tdWNYgj9rpV2
5Jeqq9VhqHr92etcqEyTVDDXNWPw6eyAuq/XGDU2s9VUni+Mtj/3qE8oR1XJn2FgtzseuJvOr6Zm
l88WyEc+M241vVo1nvsNLdeaCnqLulkfr9YUbrs+5KPEenuhFJTnxZklLI0P+G9QcTWZPVEcLcpt
ldvZ+xhiwOR5KR1yjdR1B5m7Gq6aBqd6gJNn5XWRZemGLKGchU0eR325XvpqojJ6Y6I3N8FU9QSK
Z0pSME/20adgZzHvsYLD4h/NNsmuWYATB608o2z8cqrnPRRJnqh4isy14UzFj+ESeS2iLov0faQw
+eOGMpdHYItEB5KZqgyQby2LcE0pGK1xYch4x0qQLSEgerOjb2DszvR0jHjKolHRjNZ43cvUN+YT
ZZEq9E19gZNV1ypsL003o3JQx6xd7LMlS0miFbK0jlGEtnwkOE/9UYtB0QUPPFH6l6d4fa7x1vfi
MEK507dtu3DNdS1GxrNU2ODDzolZbudERiN+V8t1qNnLQ7mtPdC5W1iNy3Sa9Dj8imbNN1ks1RhT
Q5IMt65yK/2UaFZOjbiarPF+qkWmvySlaRWB1HKilxMofZaTammfFR8EVvHViIRfgNsqcH2kaxm7
S07cxf6XZuyW6pYLdI0d2Q5vI5aZSFZgyAbf6GiIPuMQMGHtDaUVX2WmBzfVmWLw/rBSKdie8ohr
m2QmpXHOIh5NByBJ4GV1+pa17Ed3o0Pgx4cPbUavljawmK2W6H3oO/NdxQVLeUwM1nhO+gFcyuAI
8Vh2hsUMxH0kUI6u2Xv2DdkTYFmO/HY8QCdVrBKfJKNvc+51kUgYoHb3xBiaz0R5FBJdMk1ZRZE6
nW4bcKIuehteMsiGIZLoLdYXIKYmpb4sWZdXb9ApYlOjSRZhcsa+92vXXhihysT8uuD6aLe90Fnw
U7PD+bZKB5XtjRxLb1fp8G142fapsfL21Rypgg4UUCGcaiHtcPTKWng82k6rZroJe9f1QyQuDnix
UyW7fhGxr/pcT4+4d+Unkt3kbJM0NKGhMlTMx9BB4QhsgkjRlnQRzFGCCOAiXathFPQGk5sMmiEo
STqtIBozdGK+p1frOeEBoMOeMfRXRUJJcfNAd/CVoQ3tKV6oFTrECafX41DV3VurGsxhHPaXr5oe
hl9b6brtAYP3N02uhMfCSik6xDx5WkI1vtrwpS56h9GOfAtaOHuTYdsj0H1VFuYt5Jfis29mjxZD
2HGHDmwx909e4q3GDPs5aZNo8YAIycNkBGm01WG8kl5iSp02mL6mF27fkgUqH9Fnu7P08auGV+wO
cEH35DY6MtOQTP2NtCw1Bhkdek9ZolXoAxjluRHT2bSXBddlEydzjj09bLTtLCDSoXQ4Dn08Mp0o
tcVTavi6I1ivM1DtLZXb91WfTxFs7qwKg9jOKVKksXHNkAjhfWNnQgQAK2D8PWt72LUQkAWjObkg
vPohZhVyaDhQmM3T5ZPfZ1AXOPk8b8+Z1rXOYSnSxp9LtErYm2q6jhHCogCD0tTQUuZB0xOqHAjF
6KGg7x1KnM5cS6EVul44O//ZlGL8/3EqXokDf70qPb59/K8ah/UnfjsWa7r5xSJJJQRnX1byNBX8
sR3VDOuLTTiV4630KGzgaPw/61FHftFtDK+OJdaF6roD/eNg7JhfDA+cCetMabDOdIx/Zz3667HY
hsEHncWAz2K4HlOhvS5Pf1qOIkizROurIZBVfK1o9Q3mtJn2DRAx35uXfJuLuv1tgPpL38uvEKL1
NZmX7RVMDUzKhYP/62uuIaEwBIkbKNkm34dxKnfkcG5BvQ83wyjsf/FyvME/mWx+ezlqKpgSCYgb
XIZfX66Du1xlCLhBCWx731o1pdPGgpaX1o7/05X/J0PpP30pT7DbY+ttyBW88fO7GfZ5LWCpt0Gk
a2LaSC+2N/hUQTgLUqfB37/YOuH+ZjJaP5W//14eU81K3gCT86e3sS1UBdmloqGLntGr2FQ9InRu
vjRpVtwDWXJ8Ulz1iKejV5eWDYHw71//n11G8l08SB1nXfH/6aMzCLEKjZwDI8ctLmp4ehgNlTp3
UCn9EeT1v7iO//T1yHkLywDCzJfm1zfXC8faMApTBZAWmzv6nJtLZzIJgI6uewGh5//0cmv822B6
Nc0/yQZN0XsjdQsqqJkS2Ibkjd/VFXB0PmqH0XPzw7//djoY0Rii2W2Yzvrr//RNpMKXHfE4q2B2
J6i6LCdvxJh7l4URNdejQU/i37/enz+rjMjCZmDHeMZIzNHp19fLbbdfrGwCL50u1k0G73wHAB/w
XF0m/wJw9mO4/vmj+ufXIqD/8+/mGaOTlmbDyFCW7TGDALmF3ay2ImNmxdLRX7ETw/JZTbcu2Mwr
Nnf/zd6Z7daNbNn2X+47L9g3r5vkbtTbkty9EJYbRrAng8Hu6+9gVuHClhMWTj3XAQ6QcMJJae9g
xIq15hyTA67LaHH+5780CxZSFaZ8C7rU7z8IgIqpwgHLhxxh5eVWMbeHSMjrSffzy98fta+PV78z
0kIzYK92PLbZV79z6Fld7uEoTj1B6qWUZHV6m7U8kiPMwEKN8ze63ITeClCbx78/+vXO4NIT48jZ
+2MQeAjP+P237CwwSivNwbT+IFPjziVc75Nx0muyPf6HD2Kn43DjdyF3hx3kFdgAraA2qEm4wc0l
BQzvUYw9oBfwTQn3riPsg3RIHYL6JvUJiZQ+/f35f3zGkAExtYLi8PzA9nYy0a/rapK+Q61Gs9qt
JnkNPd48b55ebkLBHRp90vdZuOMl57b9xt73xyds0c4issZjLYUcxvvL9cvLqvEsWL2iMz5VzXDm
IRA/aCVfrf1qJjJUiLFb6KX91PiJk2f9G3vFn48nAIqZq82RxiH6Okimj8rIKogoSAlaII8yZywC
jN/FIYjHKLUr36JhsNIw8McxPLeUF+0bL9Kfn7wb+HTROH4Y3obBq08eLY00xdh36YKuPlZh8R2G
twNWQDQna5gY4EVNdJwxoL+xtv/9wTTA0UdBnYpeffKd1Lnlw4pO/cKqjxHqppRpaXPaTKe5ywvt
Pi/rtDNC5Rtn+/4b/fY+Wyg3TN8J9orM5Hz//Ss3V9KjGT21BIqHKjEW/J9mWOOPB7iDm4D137W4
Vv7TBe5S6PMOB/RPAy7Tvz909tGhToze0qZf8ptZRN5R+TZ45joKyCq1rfdzqMLHhrHHGyv8z8+Z
+jOkOowY4Ye83L8/2ZnnYFHmXGPI8Jj6lEb7OTfLD93qIlLTWLXQ+txWuend/f03fn3Ku4jEaAmz
gTlm4NuvX+l98AOMiqQWr98F93SCUnPzHLyZzjsLP8Xl74+z/uV5LjdXvlobOosXvVrIsjXsqN9N
Jg4dqq/4gWGu2NwxD4GcCWZesuEmM3ZQdjcV4ibfInkbGIbzMupwSHv5D5Z6dS/d3Kknwx2ms7Sj
+Y3v4o+lxzsOQ5NjhOkfiolX+3m5ykEUGT4kfNtQcac9ySGakd25FUnM9FBi9qLx9MYnAzPz9ZK3
YYRG4T81F1Vm9GoNBGHWj3llEW4ZLE0dmzRoty8WDZjqJyLTur8LoraBgbRI/Pc53SoHTWqx+afJ
Q6p86rYZp8/CyLR6VLLF+7PTxk1IhTqz5Red4aa+iwCQWY+ZgLpFT0t1zGj71nOu4FwJdQbH0nhf
kEu1uyGJrlmCO2tAhrRroEz651W2XYUCnOFZYwGYCWnp1HgE+VTVd84Ml5y2TE02w6hEfktvecAO
RyeMpnsuJ5Aaxji+mIu/2leGyCdMqwpgSGcQqnxoWOoyNu1+e587iy7J+nZYBzUYAeSlTgUrPVNt
9tA7ospjkoegiiDzBRanw9n9UXbtcsZ5un5a6R4xsFwH1CJ6ivJnLkg05YMaLyYW7Zk2XhYZzcMm
nFlfDNGjfCAj3AfkuHXGTc8mkB9RuKmvkTs53VF4w3yqI8qKCy1TDGUN8Tr6tAVi/YTV0IRoHzDs
HTYv+8Jos5+u8sFYasa1Q3C3kPCbw/MJIprRIWCxU4kLfGBDEwFx1whY26QNK+LhEV+GS7pIuzwN
CMycmNwg9bUZalruuJXGD8helR0PADGd2BiHHFyBKpavS9hMd0RF+fNxBiwz3U/koKL8oN+vj4z/
EXmttJ9pNPmhcalG6d1YG8p4wX+vj21mNJB2RPsTPOjYnOwhjDwwGMS5YGOYyQjdAIjk5yyUNrn1
w9bcBBbtmEQLok6uRG4aqVmXkXEaPG8Ei7wZO8jSlrUbe+Pqu+RX5P4dFHX+gOlqLxNwmjizoxAB
fCLoWtI4FSK0aTguQXkl3QIEDRRgQrwby8nSgqIuPzk1hKDEImuNjBW1zteLm2tG0X2RjzATahQP
GkyZxJNotfoSWQTlHO21y34gGZjvfGVCKSwi4C9pyPQpiuHQT09ON6wZSe4dhXg979iJciRVNMl8
AuMqgkBk6iKeaxLBbtYcXaAaT06TS76GYSSMZVXZeHQ2ObbvbV0YFWBfOy/emXTEU9srl/rahI9Q
I/YpxvCe+I1wujjcIe/mOXPy655y63HxHeQ6oo3aALyLmYWP3dgMN922QJ+P8B/yhGFew2QsJm3F
SOoZ++LAd7CWr9aMMVUXLQAAN3twq0HVZyoI8AxVB20h3sdpFMJ1Z04QsPwA2eZSjBwwlVk8WxiB
P3CeQezbBPJAWv0ZmWRLhlPbH31aa3VVOQ5DIsyXpL+v7QtQJM4oKlQDoe8c4UHb22LTbh0uzHe2
qOo+pclRvXNt5vAnpzW7I+23pk4rObQjH4epoweilgg/4+Kz40eVdLrbOQiWR+AyVnkVEct6IwdL
DKm9ls23hbHEHCMYY9rioXa4QIS3CO+gZCviCGE3f1zajCsA0ls7CbXXRpxlKAiwn9TEiddMQRAg
oVbGQMhm/r0YbRPrwhbat0blMpGRW4RfdqVjg005NO9H4p+yQskHwp/2MJfMo9nbePvAD6TMGJsV
qOMYfoo1fMwNBDyAgRQR7FPZYa0Pe7Iq7nWH9iZFv9WJq7KeuxHP4MxrTicYUCWCglbFuQ0y8Oit
nWUmVR15d6QmWyva25Icn4bNpj0VI6Dn967Xe1PiVuZYxFAWwh+EOqF7lj5X5FT6fQYfYFhMgtUU
o4KRMekj0zuiM/zGgg5fKuI5lhl10RHPrxkeSsSFDdETpLocukB05sUuiuK+WbumSiqCv517bbr6
Q2AOgXnOTY0CJsrBx4ar/6luam5Yu9bIRPwU7o6SytaHXboqsG2WXXRQFIZQzPBF9ylYDczW69Js
fjLVBmnB2SS7jXNnnuvYX2XzXJJGsKYy24PZh6KJkKoJRrQIvtBUE9hXPy5tiIViXX3rMcDS+E1F
2BljCkT6Zv4AsLVcqScvra/aFclXVObHBlJZeULrNamLG5XhcW5FwJmuJAZYciTyH3Ve9oAnQlPm
J7QbwXMEIhf7wmyVTNWwqhJGUmcTqmRSRPShq9bTosZmz2GCe2S22fjYLS2zKxwq8/WmsE8eVnKw
FdvAspuXM3LtCAoKjE8oIbefTe0swBQL27fOestCJgIa37FsBD6teh0WlG3dXJMTJX22pdzeitst
GmYSwAhn+GEJb3xXd/XaXYjW6VLP2VlYBS4Jop4KctnBN5r2FVJ2l8SvUiEgdJwshNJTZLwYs3I8
xDO49+qDbtp1wgxqBSJBkugxFfId5I9uPRn6kEuKDt6P1X6ZRaVuTKGiF08QS0iuRMPYLpuwpWBI
WIpkaWu3IxhabqShTEYXt4y1liT3561N8Ob7971NzNEhalGIpYFZhgCb/B0pOmYzmUIAHq9E237P
XcqKFOtCcOc4gXoal7r8qpGf46sH95hsOD7zmOqkefGmiiAKJlL5Lacg465yWoMXDFx4YCLwn2G8
aJvh9IiIYGMCXJOhumwwGm7k2HsqZeCsbkkQ3J7yYOk/Q1I1NRFjKhwe12DOolOHFxEHP7YUUiTg
pZ4MHVriuUaPcN9ubUV2EnxaXBReRSrKhJTo29q662XAKuynmU+gAESzPHpaWdaY8QsTjNOo9ubL
RgBqMvhT+Q0DUo9FydIIKRXj8Rl8zLLXuQ6lD0oNbCIzJdz1GmgN09NdVHWct6i8MqFKf54BR5+7
sAwZNwGSdgjDIb826damMdLJCvPnfAmgs7lsLuksMutHNprweVpj7OaE5lr0QJ6PJ85bsDvoYeyE
wGINYTLLbIIV6akpw6uWwbEJQcbM33VuxbelQmtgDVnbYN36lq/UkagU0B/bgEGRdMuw0LFbYTA7
WQReBskCzxgFmYX6mU12sr+Sa46CtV4YpR0qn3HXuUfD0qQRLzSavG1axdHWebdegfyLPswoAUha
eqGadJ1bh/Bz5BKCNpUzGhB2GMLF3tJ9nKxFAneTCBDgLiOAGjtiw4C9YGQgsYlYgUmGT/AE+yGJ
+mydrwT19/eZQpSGkC/sJxz/+RPhcaqlwK/qj1vXzt13QOrWKXLHzTlG2ATr2wZdGPi5aAbssGFs
RmrV5j0z6U0UN3pUXnc/eUN/VWQh5r0uaDp2MQPs3WUL5wJ7YL3WoFVqhlJtSc+IPExnAcLrTT4I
OWSiIvaDjs6CMf+TPL7IajiKbDTqu2GCyHQM4cBu8eyrSZ+7uSeUD6dUKc4rbjywLz3ekEvVhVsd
5zWWpZgG3Py5gs0bwHcgY+eakneU52KIiJfyYDZu0NFD6EBrHfD6ZxOOCJSJ1bXNfVGdSnLuqGzC
LD+3enSCBFs/7q95Ec7ZwKXAsT4r0stKy1IvpGUwJRzziboozxCUor9zklk3+3xYYFqJ6SpZT2Yh
5YqRhARLNB2CV3Qz/4H1IT1gBh7o+hh4/Xxn9JHNYBN3zpwEUT9HB5y6/HjCFhH/QXNT7D7wNohx
JBZoIrYlwwlS4XJ/V/Qje6KN3vlsKw7Gc4fwE4OQHfFMYsfC76N0g5XluS7fDOFqRa3bs/PBmYdA
LboVPyyQy5aKU8he4oxsEVv3kwGelvgcRoAzqQ7YboPCgf4ji69TSTPoBNREjodKR82trLJoSJcu
kM6hnZzqI5JyCsmxHHhDZagDoiCY2V9gKBCYU6JvyCgnLRypNCa0e8AjBUXJDfs+OsKSh9RhF6Wo
qeKWvqEQbobiEm5WcDIVEImD45beeL+GW4jwvhvlHk+qDKqQeabK9iR3WMYa3Zpi3jE9onna8uPE
2QUQC2XnAVEJ8DXD6iq0pFEh9UGV1JlXS2VObmpT6s0H+McTSIeyfxC1Dp5yJsFX+KhIiy7njIue
j1f32OIvMlPNqz0wCZHapDiDBJYY3tKkDr6xc2MoG58v+TwfSnoikMKCTttx0aEhPrWYx/lC+VhZ
mIgooHcsG1F+XW5P34uZ7uOVazTKvIYip5zvYTiuZxRMLWqvSjYvYV+hHtPZUn8jaA1K1uxqzVnR
BE4HSZ/R38E1OOmSnvk//EU3gLBcOuN2Amc32inhmrlxAjVk1fHSLMWxsXVlYKga24ux+uTVTkFt
fOMzxVngBU0xHIaOu++hQf14tbYLECzX0RzgxM4eLNfnLbMMeykAK0XTZbDriHl1n2/XvUeuF0Wp
Y8xEFQfbnFbF0r4vp27k7oqCHtaR5vuAYqHmIQlA2ty3Q+kqdl9zfp4K6gT+OlpxfqRJPyALyT4w
7EZFPjEqMg+tZWfvtGuiTml6TsxUbiiTwWkRH4/kIKtvNM0DJ3aZrT2XtSlZJrnL9kd/VzNTt6VN
LG/F7WzhtR3OEXFd+GznkZJOdI1T8wpCeUU3P9k4+hY/PEKjm44DVzpSqCq72tW9Elpb3VMyhPgR
n6uwzpOpz9sw1auatpObKZd/7A1FsCLZ6pdQskECTTOZqXuLXI6EIQ1HRIJgrsxltL3UchbyDjwJ
Jgi61TCTIUQUCSh4UW7novYVVq3cxfYsosZ68fUi5mMv7OAxVFNzI91xxSpdi5A4QyJnqfDaNVpQ
g4ejnTiB5NRzaIvk98yj/CdXbyuKvyF3bnGjBC4bmz1GiBbDOgBXR+Pi2kCsgFJMABsH8WeIOW3X
EXtVN43dHQI3vV66ziaSi0EbH51UfsOSb+wwv7Z7EegTm/42xU2ztO5pl2dFhwoycconmmWPoVfg
7pddixtNF7WrCF/auuFe+4aSPypZYN5jobBXJ5rfijmPDQ8t1fWKtpLJaBlBrgtyJCx9UcBQ3cYB
kVXhmn1a2Za3nfKW8pq+Wxc++UOrtyfiJS0QkqFeP4RmOdtHz8rmS9Y2gnRCqL4+jEC5fNnszjgj
dWJHQpnJmWTKTv9wS7Xd5Ibe2EZcT6IO2nyBkErYe/ZziS81kZQdyw2KzRoOWhPoMTUtxeC7DdmG
E5W3mXEBxIOa3Smn/l1mLkqDa6lzIKYGJ/gBY6Qj70YjENGRaEjCVLvCDvJzo3NGoruRpT9W1MYT
sE5iUBNYcKsZZ9BDKc3Ath4nvXp9YjhL/ZMs8wDarL3ZRyffvxIIv8SPANLyE58rljhYOR3q2AGd
Jg4sA/U5oB0WpiF+bSycap6sxInG2b5as63/Em4BFdriCsN/XrZae1y9betq0Rs5ewUz6nfB6uTi
cRHugLweUFGQkMcEEKxB7ZffRP5if8PhtBMHuqoYYpoFpAgsgB+cmL8zLDcjKBUrXloO80M049E4
clrV3H7HPVZRkRT+bFKBGTg5pkEkDfYDXhfAVgzhMBCKk+n5JMHJOiQ2Me+NHRFYm8aQILVBIFNW
3CG5Wgx2fp7LEuqfRel5KR3+agKgCbheZxLhxw4y460H9bEkVof+kaPKrm2YzyRNQ5Ay5NcFneOd
oKjlRUUDBviddhrel5Hzkov07n+w1i3/gAWeu3pmLcvNUOWlH3emCG421xjLHQea/ZTsvC/16IfP
A+ghF6tYJvkN3ImJC77l4ZFHeit4xb794LRiWPBEiuy7WFGsnbtoNeyz4CbJiaI8SDtN1wf3VIjb
evax7SwP+F7y5cBssuuSwq3DNS5pgbD3bCG2HXSB6q4g0nOOa41XP7AkIuKayuyHsVbBizn27b27
KU3XYglDqvnGHzGwkFLRXbc0bkTqCM+7KXJmzOfRtzd56XsSGAeOnI/uVGMUW8e5fFaBJJQuAP5x
ByyPFhk4v9FJTJe/eNmqmWDlrs/9I5Td4ux6uc3Yml4ZjIvN/cbI8NRx3NgAQYDexEXRy5NGD5sd
2oHC/rAY1vbgIwi+rMVafnd6sfvye8NCEubo/j01tADSQbQwcKmAAiKhz1Cy3rmOiRTcC9UIraGd
4cAg6nuujGzB62URakOHzEw95dCxUcHGF+1uPqBZroZcmCNIy6dgHdz2Wm5gsg6uOZGAFc0UUR0N
E5VwkG9g2ZQy3DNKL3z+WoK9NJ1qoZ3oDOvRkzW9BnqPk0o7VKFcXcuNKOpABuMnQrVgFRoOp/Fx
sibzRUcuJwQtTMZiHkqUx8J3y/AakveMbdpFqXuw0JCyYiMuktc+aSvHvNcNk4gxJ9EPCiuQxwEb
TxgTdzpdcTDV5ZG1wGyv7Srsso1T3lcOZtod+z209MaUnZ1snDMOSNBIG9zKfG5RBB+JL2x1SH1Z
D/kdzqX8R4B5wqLoVQVEYKMp+Mowfs2njnkTzOKc1yHWkKoZPfSr0TK/r3lhJioMnTJRb1PU6mA/
tVH3Z6vfHYFOh4ISx95IEkY5aKIzcr/v4fJVARz7fmrBLpNYefRh37xvdpsv4pzNx+ubh1aDkW5Z
LtZY4+TOe7+uzyW60p4nKPYhPG7dhxy+hAWMkU3/kYbNEKX15gJVa2hjukfI4Z6CUUxCKwK7tmyP
pSVWeaITws2dncIaqE/bNjjAyMnhHJL2xMWlgT/PRGCaqhOLbrzHcQyYFGoiV0Np9UfE4cj03AwO
frICMKNzS+xjFEsjh3JNg7e+E50WtKKEt32gl8PwLDQxx6GRpK8BH27+pFwAACOYlY860pMHNN1H
ojdyD4Ew7BhFA2RPrXzbdI2zQzitEx3JvHO+F2xYNJUCdz1lW+EA6/PC/jSXQ//Mp4NG2TEqcd0x
qoI8M23jddBSAh2UDSqQDYGbzDRvi447jK9tErYb8HlufJC6qg6rz8HoICEyb7GD9kxlYVJabKgs
j4vV0XlvKJ+50YQFHjqRbygKLBhDEPXDGlboWMr13pBZFh3XyvLUkY1+am9MQmTCU7hBFzgvk4ke
087HsEwAEQzj0ba6/jP93JIb0OaDBiRrtj+vAcslnpnMTieDSJ2nsQC5d/Yw5p4F8h+LZA0dfi7p
5rpxBojsne/g2bouKjO/5bMHQlAgIbnPsJuPoMCzOYOgJAD9j3mBv8tUmXuDlzWHIu5Jbl+228sy
pcslNtzzDl8DcUP4/Hu7JpIXzaYjgOnm5fsorwW3kCqcv2L1gqsnG8znh2p2pg+LDI0t2XDEc8oy
DUq6MRw+GXnLdXul75ClOXPPHWrrNSopiEhHK+3DDYOl11ZfhhU/ZxJOqmlux4IsUlTrIB/tqRMt
E60m/OaXvf3kbpFfHvZeL3pTe4HOD7MO6uoqnB+BgoARr43uP/qDE578PqSVCGPCYL4RkGHAAeln
8igFNKqUWbazI/PmT2gbppdlnumTZDJr91iYHjRDv61MR/C1uZeMFohzECzLPNYRBOO0bVpRprAx
uvbUGqS2ln5QYrHbA9DOtVq99xE3o4J9VPvqAdV9ZNEOUvk7Gtzbey9ShUg7l4ih0+qinrml+uPG
UtGQy65dp52y95L5hNqhkeb8sycUrBr4KgMVPDNuiXB2rYwiTzgCc+faWJdCvLProHbu9LJM631Y
FF30vrWHMoCF48vxi1dGTklPoKC7zJRSPVheWZMm6lqd/5as6o95MhNaNBFkiwR4jYLXgkq37laf
S+OSOJgyLsvo+PfmYoPkrCfnaG8syn/GtP9LKPg/PpKEv8huhz9kt/tf+G/Vrfd/97xBUgfJW0Ft
ilbn/6tuLRNcQci8HxkH0wAn4m/9N5QAzxk2C0rxkLeRv7rLehR9JIHc0iLGEMh25GMNQqHAv/oP
oASvF4kf+C6S9l1REpCKuf8Iv8qHwAspxRy7w6Fhf0ZltB0jpsdMFmvjhI2yfkO68o808lftyv48
fnKPYb5Jtyawf39eSXoJ43SehwgcDKpBRjmZM4CdJ9wxxxGoyCnK6NdDUhgSIXzvU+H1AHZGt70w
SFqvxnl5v3gd01DCsBJCPkr6GwqY6C9f4cN//US/mjr5fNnJ17xt/kvSys/pmQzrfA/Fg+V5++f2
i6wKNc+2NSQGxjIYvvR4Va6E03PArn1/9fcn/fkNBFRJ+9MQUqNdffUkGKHAH1RHcyISHKPL4p9s
YPvpVITtl2CJ3hIhv5Zw+EzFSP5B2sLqYor66hsHYSlraF1DbHOFjVckl7EoOY9AFKy3eqY5JR0j
fON7/5dfEiIDT0MdzAnqvNJvgBGoFajqIYbPbJAchHmqI8YXn8jan53W+Pn3z9Tel9HvXx9rC2U3
L1ZADpP5Sg44Ki6k9P3pfWw7kR0T1vQsmF01h9Zs1KcC7KKgGWkZj06AFTnJtsF/hAjnfQ84BkFz
QpefDjmnYQM5VngBFGYNJJTfYVsSDiP/qbIm55uYG/NLLz383p29hY9F3VpvSez+7bNjgexyr9Bn
dLsv1V+W4iCBG3qi6wmkMcObZhjKU62WDSQWdqBG23769w/vXxbInl7LOkEZv+v6f3+e3w8qY6YE
q6c03BP5Is0NMiOSm4qgvOtrI3vEcvqWEv8PYS6PC2GzoDpmOrILrn5/KtioXOWafM8K8Ae56asF
krWomOS7+EhNo8ouFja4YxWQqCGbhbZEBb8jbz33jbX656uPDwixNdpctOj4un//SQwvVBi7POQd
DMuuJKXnaZXh8uib4/aGxGxfhq+WKfTOiChrFPrwZ169FrYefGNwoRgwmQyvgTThyxG6e0NZ9q9P
idjnnWDfY5z9C/9lATElVBaXZwrz3NrSamyNx6Ythzf2sT+fElKNImAjimrfYV4tG9ebigLueRtD
NW6PDa40NnkjUPZ//PWEHt8LLB1GfXb4uqxpRJUBrhhbmq+Rde73X4TMWSbRO+3v72/CnyshBNqK
8oytcgcDvTqsvAJqiUmzNPZM2V8bAAcuNiPLdEA6Ev/9Uf/y6QWmt+v+fJP/O/u//+U7iqxqCRXK
rXheC+eAlro40zBp3njKn28ZxYZF9QDmHo00ZpvfH8NUy7CrgcegZ10Ag0TYQJnIvSyTY6VlKxHE
lNmSNFwbU68itlcjJT2MxMy8sfL/2GRQObLJopxlvcCeffXR5oE/GJo2EMNqFBrhxFbdNY13XS2M
S8hdIxIij6w3XoT9aPvtddullSgJHf4Hp8F7pV4M5mHq5b5EG7jHscM5eMBDZ5OVCnFJ4aI8TSZK
uApb6v/gg0cVTjnhBSRPm689DhZxZZ4h+X3RtQUH08pgqBQEa2RGbd8MBrquObLtu8If7Gs9tUuC
+IxIOy5Xb6zpf/vgWWPghPnQLTqov68AS2c0D9uii0vGJ7EBlqQuQJYJtadoomq92kzA139f3NFu
Evv9kw94gShxqTjwl3n/4Id/Wd6b549OX3XlPzvCVYZ8p0EMZOsHZh+7td5S8tRqaB0HWJf5xScl
5tNEk/q67XNgf6ZLuuWdu4aTB4qF2zMt1YYUQ9vw5RWaRMj/MgAYe0Drvf5wQCh+6rVrgLAnBO9W
KFrkh6W0XXViZlJelSpHIIpErPmgB3JzgRWEYoEpGoZVnNO4vW1g/6s0wLZ71TlD/q7IIugdirOH
Fh5JLQypoeTwBcEiek8Pu7vv1GR+7cPVpRKwKgzYazSQXSdXFb0fN49gAYfIoS21Qf9VDIgWOzws
7th/iCRhymnbYdvec22mY8/KhbyFCxy6QpH13tnVnfEtk4v3gSoZPSjlS/+p6jb1UGrlASyn2wcF
1XTfMVub6Y7OuQnoBRkvfde6+ty2YwcKRpr9SwbA6tkdaCDBGQU9NDsOkyom3AwiF+0tOkF/Z36D
G2R/duvZqB56WzDdFqtCtzmTW2qQ+YDe+1BnDOUPtOT21eMPphfjBaWqGizPYtLTF1afWp3oka/S
vrsNYCI9D4CA14Mhp3mlsVAxTfHoF+6T11nV5FJ4MJftYlkP21SK4NBWeSjPeqKXlEivlEOKQb5Y
Ye8F+pkIXgpysQgcyQzu3c8K+RbN/s5coU+rDk0Ng7ThS21aMC5hgyquDAxwUzHh/j2C1gR7K8Fj
kIIu+u6uA8HIJ0EugRsHCLCAWjQb+SnKGcf5SKdbk+YUBnmV2h2kdsIufFnHPRXiB8iSE10TdGI1
wuhIg3qcW4d/ds3mY0RQAJb4aDA+V02k4b4uOd1WpyGCIY7IH74Za42GKoTf8HGAyhgx8Il6De3K
nD/DEWUVkQWyfA06D10sUAKmzJ5a6RdEI3oGSBBbLo5M0La7VZjMxwgGo4Av9FKdhCaAK+53XyVQ
/lbpxEeAcPaJlPOPMAOUijsPUV7sSmU92MjbZFpOI1NzfJF4eDVQnVs5V+XPaaPDztBlqj5Wvjc/
YIxnfLwAbGJ8s5b5nV01yHNW1vV8BKOFKMAj7+SeprTzbM6Uz9jJ7O4iaqcuD7lCWESkQTSRZbLM
uPTGwH8Rprc9lR2lBGIVrUhp8hr5nRmutR1yS42fy1BnKhHV8o/y04G85ksG+LG5KyLQCvXLRdP7
iXgvYbGmEtI0wFOgofAuQzb1cew8umPrDLeoFNIkvgxiUDrqiuDFLdiGFtey4+sYq5FxLUZawAm0
4nwPaSDsGkkWo9iDDTdg3zOke0MS20Tusm4Y0BkuJsR4rCt42Rrx75iQuW3mIPPI40sbY5daMoRa
XwrHQ5EyGL18GA0IfYdRK3ruUtVgUvyw9T/hZy+HQ1FWQ5M0rT2nQdUjfZFTH33XluaHzYQ0nhpI
xO8QUAbmaer8XNCtrM8dbsj3+/vsnnziMpkZqWn6DFou+ohHB/g50SutBeQFACbZ3NFEoxcTx48o
HMXGhcycr/vF8nJU0KsNaEH0klU321zUFYCIRzlq8mJgA7cGS9RWNyWR2Ss3cbJDGC0M/o4ZYzfw
caLQ+laifYbzDnCkgAb33Ru38cvI/bPlZqG88QKoLkus3BQYtpyJemQMVsBmBTEH7/1GNqQ4j82i
j5A8kYiSAoOGZp4Xc7oI1Wf3pSthXE9dQWfPCwTUEzy9bM+WmAugVpkzJuAcnI/2PIRP3ZqZ48lb
bf0l2shhuRAP2pepNRvuJ/p5tg8BovaGlMEkWSO50P3tuA6wI5pNlT8EY9Vb3sTui5jW9ptf2GpO
PGBf6B+tYEYdCvbkeplm4seImBP3JpoLJNl+A9qZLdn7vnkG8llpdPYXDRUxB/scdYQX9SS3TE2+
Ev1sWOatpUPIJgiGVXmcfKZHcQBaL/zJ1zk37+ex9KwkA1hEVmLtriuLKre/E9PL1HBg3dDVroNn
ZRjVF1KszY1cN2spQWjM2ryC3OfuwBgRlYcRHc8nqswy4wTZvPutGXZuGE3a9owQFRKcNHEpxvwp
M6Y+YsTalSHKVKvLvG9TGBUQmVdeBtr3BGFC87CnMJ5D0i54t+vdcle3A1YLAj3RzhDQeWHgsoJE
6JfNP/TgL9pYdAbzY7wazU3hzwpkUR5IgGKBABGE+oNmuIJVQDab25b3xNRlKxwQ5ASHCBXq88pN
RCFI6VviZDy0RBxajBj92etSxsSVQD2TbS8wv/GosULXx1qbeAAWRjrE+VjkHR43v3UgNLSMExM9
VtHAvyUf9jDVJRJn7CX+TjcI5AVwO5iFoC6DlzDISoczAG4dNMyZbR1V9rYxvLDtmxbdHMFW1f4r
0IcYPvTQbaCdEDhfHqTIAJ+Tuc5LmU9jiPyx3T45PgYLRkHVrlhdA+cnBB0sXbboSoOexcZ2qjGX
fTZ9UsTjsmpDcHS5EJAOg+7LZOm+TrZ8dd+7yHorestOcUNthSQREqH1LegD84fPDC5BAb8VB1NN
2c98Chk8jaGtdQoZM/s4ULPD9kaY6KHiKrMbxFjOdwdlS1o1W/sFyTh4eKAcPWpNZ3hgYoJOvF2K
gaOu+hz4xvIQSuB50KcypFs7lZFkz6Y81sXAwWISCwiiqb3IFtZdFLSkGvVOA0g4bw39o+3k9tnz
hPtktO58bWMdQdcKDFQwk9Pq86wA2OOIqHVSw/jxb12ncdW52LyZPGGLmpYPzrxtl8BeY6sA/YS4
Z/u66EhZQJS38gmths2+ipNDxrNZrTCrqxFeuRcUnyCicy+K+kYd7Z7E+8PYlJU85BM3DGQtYEUS
swToPXRBlzMBpN+TIBQoq5hDd/2Z6bqmKCK/Emnh1NfcmqCdPG4tpPT/x955LMuppdv6XW77UMHE
TKCbpF3eaknqEFoyeO95+vOhXedeJSsrM3Tat1FREVt7CxIm0/z/GN9Yl+k4vZW5xNFSD+Z4FwFD
BpUYD3MngyHkUOAcnOoJ+A1Ruh18zZeyL5iZtaGmObSyAhP9Yy382tkSiUNriTqU963V9OpHjczw
BZM63KJEtOissTjUr0DkOULCdzU/M2itlwBb2BXrnD8rLa0532YgMQazQ1U6a0MNJXTGJJ+TR3sb
JLKqlU2AOroocJkgsTDxJidhcKXSsjuUtTqEOyVS4DhpcDY/g3FiQZQpck63JEPIYkXRghstUHXc
qFgQ3jmK0IASahU6m9BJo/cZ62Cu7WpELVVKk+JEmJbhtTGqQ7JBZek8qW0pnb1RazlhtqpZPzce
/6HrOEH/KiYz2rdqN0YI1aL0y5ib2hO6VedHkarji7CacaLDTCQRGEQ8EmteGmTVGpb8Fy/pAGKz
EEA2JcUCMUfo9NkjtjCMmomVQpyJ1EC/L4PaIBrbxr2xUnuf+Z1I8v41zGSboxilYYRaqC25OTYC
tIRNR3moIp8tmgSUBYHGZ0rCvxL/MGLAACvw4MXjCPMJDKXQuquiKkZ1ZbUdXgR2BKGzG6xo3qaR
E1RuYp28JFwaxfQQKR4E6rC2UN1KASFs1q9BUgvridwxH4C+7Uu5h31a74bYJi2alQReDLjOfd60
gjfTtt3DMCLnRZ9eE0CQD7URz7QtmqUSxR6tPY5+j4Yp8O96E7EXrCST+EmGC/H2wYyZQ3gEqwgm
O5XqIfVIGwqNPq7XJt6Bfp/H/bCpDQj2G5kklPettmy/VBWaHlftVJ6px2T6k1QUkLUGdiSUSfHv
bM00VDZ5KkK5lV2LLtrPIPVShcjImW+0GEXYWHn5t47NEKJSL/YIX9SZmWkECwQ6SRVYt1FZx/rW
AtHPPMCOEPGpOoxoNqtZhjzNh31lVNVHgmlGUsjgieruZLc0DVC4I0Pvy7K5tYgbAIKGDnNaxXWH
9pH1nl05/zZ5M2bvcVbXu58SuXXEscdEHaDjOMJZUk3Vfsj7KkEwSq9tZXYIEUHZd8NLZKf9DRE6
MQpk9vqHWRuFLp6D8qHMOgYcTGTjqe2G/gp/i0CurZacEPg0Qb415fDVo9O8ou+qltupZD9Iwb7Q
trVZNhUHOJbqTaEYw+MMH6ejKGPrZZTIOwiQtAXJIsjWABPTvkDGi9iQJG/2BblLGuTwRFYDM9sU
GuLBJ8DrZyMatvWlR0e4wlP2y0HV+D0OfHtA4zMVX8wM6woZGLDVd/xMxJh5mRfpY1un+ucW4Jrl
2kZgKCtgB03mhpUj2FCpNV+On6ttvEHYBIgtI2+kXHt1Mb3VTWUM11o10P/Br6ffCTrK5H3pFN7c
BC7VfqpGTnMDw17S8LYMb1Oz5yX6JCSyp7cJPIanOiFJVoax+kQit4NggUL6fVIJ9DjYRLt10tbR
tC7U2ryixUazXos6pBFT5gQ3Dqo6sQ5yScAvf13M3kTk2QuwZknSUTPE38tEOLdDlDU3GIrAKZdl
JSeXAkpClHk1kNaK/ySyS7wuo2J68ZXeAQ52+7TT4Eqzc72d/HlO6b2oFxv2SfNBJSa9ZMWh095p
pVV/cchbrPfqmIWHRq+HH2QgAObFptnKdW1DE1xPhaCkAIIF4FirE8RNylrmSnZHujuUdtJAhhZ9
vCGAjQdaCgWeU1TiAsMdm6GCIfJA37Ii4uekOqhE28Yx7X1glMD4pWnE3ya+YnM9Km16kyDC4cUF
XUh8WWf8iqrR+InjEiZ3aFndns0bJ7ihd8JP2mSZr1rmM19IYm0QOAQZoDg2Cw5mrDqpkVFlwaFq
wlyS2iONX2WMAWqNU2zwZ84i3WlbE7DRurpSr6hNmPYKm8JUrVqRsnUc4mg8EPAXGxwZpWpuu6jE
mJuHoO4wEelJskYfRj5FMEHh38RIELE/YjpEehlEzD1hxzmZ7BbwmmNWfG+0AFSVmfs93Ld4+jo0
DRaFcFS+lkOqfCUlwLJdY8hB2gajk+lXfllSnndYORucBwUGBiKKyJPlxFh8qzIYE/P3T35w0eR+
4rYFARR3qNnVZ6R8FoGUdl9QZiAJ5kcz2Ea6apz5mIyWw3tK6jr33UQkFjaBSkSvZtMbn2s+4uGQ
NqXxcwz76alEPegTo2IEEacpX+IjioTZrHLTg6XgY9vB0UhZ5jpmEuYfw7x8hf2UOrsQWUG+1vOW
KSXgK8DzJrgYym8CUg+oRewbJ4tDnngXBAd0jcAaACmWbEmzVn+3JPV8cuSNOiM+y8JlZwEAu6rB
gxfMvrlXr7I8sWgde4NKCAgSK2dr9ZTcMLlFlI4JJU2R5so2JXpQLe8os5NXRMrPaGIqm+pPHlqR
+zLUS9gFcRGg8k9kZhBORYWGZCet+hGObDRXE5u9aEUmbfuYTgTqETwYx5+pLXMyDfvG0Q8VHzNr
TE602UZtCxIPg6hmK7kyKs6XK7MWBFaPVkoECH+KoqqPcvM9FBSEUV2OCoshXtE37PaZQ/PbqKy1
RDiGM9hHZ8aQVPJ4Jyj0/aI+b99MbO3rFZ91+s4SN9zUIpXYxShJYoFWe3T6WYlNfk1t3dz4yEqz
tdHkKfrlSqA6DyWO1LJK2Nn4kWaXV9RPomsOFCPOqZYDpVvWCORJ15x6GN8dNQXA4EXdzCDnkO39
0Dkifh74bdm2bxWIm51FegYSDw5HOlAE19c79Na4ybt31t+2QTKmBbfkofnmIc0jKztEeD/ZAZF0
Y0J+mQdlJBP/Psmj4fN/mWkm1KzBtFZSRXwoOqznve03d/8FS3+cZNrTWsWaDbuKRXtfJdRItueL
xh9KxjbQB0KD6CXRiXPsRRtOsubp2Wz1IbqtIOpXK2GqquZVFmFR9gjyYXXDChF0fnahTXCiSzLH
MyCGQN8I71csuiQNmIWS8ILczaXFjjOtimv2Uax6+Js/DU2F9z8mwgfdUbAJZQV3qiVXhVKyvzv/
DD40oGh1ac6s9kAognZkcSMDkMeUjICc5kDlr6qsh+vb8bUAo0gvCB4+NKC4lC6kylWIIzTnFMI/
G1AJ5nytMfnu4syO9yWRLUid1XFz/gd9vAqtB3owBgwR1CtLjsOIKt5oBxw7papWOy1Mw6dBQVF+
/iofH5ukzUWDy9EMlDVLUUsj+oH4PdA3RP/ZGKzSeBcYMW2EjjL8+Ut9bKdIzaBLbFi4QXCJL9op
OBW7oNW5lFIFKiLUwlC2TWjLDX4FdqoTHEk38ev49i8vO/dTQN7waZi8tyVJbow9CiEEuyIIl/4V
cj+sGH4SXZMPQIl1apxNawEtOX/RD18kF/3NAaSDxbv7HW/yRxOHMLigEKwPFL0517Uwj7Z9VMpd
hfO09MS4BvibuARCJRce8scPcr4y/5O6xnaAJunx4ATgO1cao3kjoxE15BNTQofELsxrLL76jTJo
VM1kBE6vqNrrvAYV55bo33E4+MWFpyBOPQbbwVHJdsuycW4e34xZp3RwKh6DasXFE0TYZK3huVtj
qvrZdn13kyo6Ub1TRIqL0nSHDgLn3jFIBo6D+UyHxXuLkBaAbG6VD0hhtIPnCxoixEP99RxKzx95
gSE0kz6rvRBVhCWugEzrcre2lHg7mop+PSRedtOJfrypGw1NNaIziAaXOq0nvnMujNTA0lCxabMe
7s/ZhBwZaA1Nm7uWNgwviTMEa+IX4/35AXnqKljzEBzYRA7zI4+vQoRdjWwyJXYu1exb3OSfSVUo
Hv8XF5m5e6wIpqMtaUtdi8yANDYOU3ps7HtRJg/dhE3r/FXEPISPe9Po+dAqSUhHDojXxW9p9aHq
UtLIeFWtATCGuNFOk84N231lVdOVWAmnUreyNoLHVtUiHBttXFJ8iDRSvqNsT6Z5eG3Xg/Kam539
7cLtnXrUxFZBQbL0mUO4eKFaB33F41yGatv8BRWg/NIW5dNsZb/GuhhdIRXPXYhnVGQsaAq3kCKz
jUC7fydRBa9yY6CCK6L+7fx9zZddPjUo/2AfLRVpg7ro6JM2NBqU/XM3LWBw+XlIga1DweykMr6a
yu6nn2TpVozOj/PXPfG2jHlIzBpNSq72YkLiMERagGBQxGQoUbCz2cd6lH97Fej3+UvNxNblb+Ra
s9QTzydAvcVHTKG5U6YypM0bp/R2i0RdY6wDapfQxG7GWMXXEjp35GhZd6YzoV92JuXCRKLNu63F
gzYQMDjaLB1EqrVY5xIHQTcbZWhyhua5qC61TYKoYWWpdcUJe4wOYhycK8pLw7dCabSvujP8qhop
EDdQvSo1JbiPodERElpaD2hOJzT4aSmfoVlwiikqcj6qthg0l1Q4OOB5CItDlsSjn3+aJwaMid7V
RKIAZBZAJr/zjzWMuu6oFgQCuKUw2p9w+Em6YRu/MRsze5osT3kT9HpuB51z1vkrz69p8QRNS7BU
s3wxapabSjIQmgKTQuamXPm9t4mUVxG+PrHbVJ9wq176NE58sQRGS3Y/YBFZOBcTSkbjVyNsOEXw
XoonFDzt/ZgZ+oVfdeJDsHieMP9NkOViOS+wwuC5c+gEZ7zYZxW0JjOWH97bcSHuzz9AcWIMsp7o
vDx0UgipF2NwaHC5m21FoGAjAleA2uI8NLbXwDVopeGqWDW9KmguqHwroVbsqj79JELvhu2Rd611
5YXJ5+MTBnaLqkUTv3VoS65mkZR+3HZp6hqKiHYQkCZ6ral/4dP7OG7YWiKcoZHFNMCu9njEOpo/
EgpSIUxJhvAtqzhWdjDs94Dclbs8o4Bz/jF/fKNcD0woEw0sVmuJeDOUGFeBxvUMLQu3tUE/hI6A
tw3yWv3rwcOlIE6z3mkWQ3Xx00JKswmgBvLKWnIHzHkbPcX2cDBDrPrnf9WJdzWfpJDTzwIwznSL
pxjTWbMArlInC/OtmUpjF4DIv3CVk+9qRmKjLvudGXN8FVAoEF56fpBHo5PXZFbXGXUptxkM2oQy
7i5sgE6+qz+ut5jNYLTAIiHOzO2qdnouJRQC1OQRLBpMaucf4KlLYciZF1p9Zi0vppPKqb1+hiC4
zNVYz8B/4KhNMHm3vnHh/H3qUix0JipcMnxA0B0/RV/ri0F0NNaiojEOXYPNWx9ScZerjbI+/6s+
QBclF2F/zApOwBWi3/l898d6kJoZHewGbUMmNPFeyhwNoBHZD4XU9GhLOJ0EZmW0r7E20W6vcVzO
54wHGZTE2psFtrys9ACQITCnR9MURNYiGr/wSX4cvPNNMqgEIjrCifTjm1Qb9o3FTGuQIKTWA1kG
WK0058JE8/Gx2xobaUk8JZtqrHDHV6F5gCy1sxLyNIp0F5DUcyhLOa3BZ5QXLvXx1IzbRWO/yzo8
q3gXgykPWwkfqE/oE09ZvKa1Y30abNqgI3ioDGOZJXy3s8dLu9iP36dt0CtkXeT/KQwsruvBkR8N
NtNuR4Kut8p8YjC4VrPvhHfNg8+fePn1FUN9utM6o7seYyvfEZPtbwoLOawbWV34Ooj4QaXJ8yLK
frrwqj++BGSeUnKXyLWpfC/u0HeaoSAIGtGFZrfPiurnt61KxybwlUti4I8Pg7ArFi88J0zAHOiP
33eZxipVhDB2E8VxvmpaTNwODfRhXQGGfihHSIbnP7aPw9hBuMxQFkyQKgL74wtGBd2isqCiRn5u
/Wr3+vhkV3htL8xU830fb7TY2OmCGQSsP1EHi99VmDgu7XhA4EvZ94rgUaR0LdVXNG6QnNDM0c3s
ers/KFSLV05Cq/6vfyclIXbKmO7mZIT5OfwxpwB6EA7+0MhlG+1sILBEG8L5/OfzVzkxUthJWtQo
2U3avx1if16FObJCGwH1DsRd99SM3SOq7/SzmbDUnL/SifeGhwalNr4dFuk5VffPK8HvVsJe6ZCd
qI639Yq0e7dUp3g5f5UTJ2AKnIiz0SZTXtKsxfCY8I/jz24jd1AqoDVaQxcnbuxhbY1eBLUNjJas
ScMxtIamVzK2m0H23xuztsGSlcmWVj2yxWhsXIgvl/a5pwYVw2o+gNlkt9nLm2sbj01XTSM5DOr7
GvWWS4pJDvWJOEbaDsCJNOllW1J2Uf8hA78wqD+8A54Lo4ZZGV8Tb2IxLzA5ErBl6t4qirr4NVCc
+NaqvfTCVcSJy5DCMZsVZ5U6G87jVx0ThFmzIAeuiqICFFUTBLuo99ALZgkdBgn2Yu9ENoIdgVRu
g1X5myGCbhejCtwoIciSSkms14Be0Pr38Pj/7tL/g/Xzjy/lQ9ahW+XfmkXY4fxf/OMvFc6/2Gsx
LoATSno482YJSUZDhCJxL7gsZ+cYp03sHrzL/4m8lv8yyUVkJFkqTVMOU//XXWpo/zJwuszbLpsK
s8Cg+Rfu0uPhRMgiyQYqfxG7Ro3Ray9mDhWY3qBkJMKDRapdWY/R2tfAEv7xPB7+mdr/9GrqxyvZ
P5eh4k/EgMTDyknpeNQmvaZ3uQcE0QoFqlGCkD+VUlXQLxpl9YTcrn2l599ftyYIxlXWZESHIUpR
kILZA4L2cLLUt6AecYFAH0X3KMZK0kLWEoUsUZm+YI1M0uvYlENNEx7SuNN3yCTMLFHIdWuHKN/o
aB97tHNC+ZLCZ3/uIRB96uJ4aHcjEKZoHaSN80wf3ILz4ZM86yVZdF3GAuqAgSDgHqmd0174nk88
GIpjLIIw+mn2Llei0YvRU+SsRJM3ufRI7yw8ikb26psXdlbH0+PvN3B0ocUbmII4Fn3NhbBrvI1F
foeXciX1FA6PviG5YWUPw1XDofL8mz/eRzKm5kAjySA3mRLnYvzxi/dDItb0DNocysA56ADeuR8l
+ab1LG8LP6agPtr8O3X1P4YGLboR/1yVpo/B4Vif+yCLDUap0r4lftmjL90i1nc6pI0zDawnCfGB
Il2Ni8WS8bbn0LAO4MnthtEo1gkfy/X53z+nov6x1+FWOAxofPpAuDgq0bw7fgDAnc3eT3FwNLRx
izUKKvOWsqWG8UQHkryiFjLru2vDubN9v0c3CL/ktgwjM9z7HeTprdq06g1btoZDlleNb2Hee09G
GbePdKKdEZmaEL2LfmROTFNGZdwZCCAKaLmyKQkwHvXbmn9+a2pFeE3uuHwYkEkhANYj9GL4Ds33
ebZRt2oqRLfSKwOzTpVH49MsXUPDIkx0rpY5Dpy2zHpGhiTqsHHMOvpaUtwsL0wWx9umf54YBrvf
hw9bJ/P1+IlRZ/XRZIKhSQu7LVa2LD+NnjK+U3ocL4zOhdn9n2tZFMbY5lE7Zwt1fK20KWoIYKGy
aqVIXPw8tnTtum1udKUIHyLyoIA6SoWSv6beKbFSUNMtq0d8h9Oe5IosQXKitDemHuRXo1oRp6pH
M9nRaC7Z3RcTxe9xRIOZqjzDiCL//Od/bFltKx7iMafZPmYKRHcowR0dLIgdTJjFU2IUfb45P3RP
PRzqTNSzOXWiO1n299ugKkp2rSh8+caezMSyf3oasPKv0HPBeKeRMpSrUg2SPVR36D9gMkfh6lkt
PjcJQii3U7zxUE4h1oI+i2Nz1Ztp9xpahH4S6dnV2u78HS8Ws/kZsfMjqIgiCCUQudwCUieIPIO3
ycfxVOrodFY6EJXswm77w5xGgI3gYEZFlc02QQvHr2Ls8hiaIshxzEfjfdMOSKhH7RldbfOQaDWU
sGJoLkzfix7D75HKN4HiwsL2xIFi8f5h2uiK1qaQBNUR1d7kjVO0M50Sc1mE1PmLUYxzd6O2IMJY
xgASpx6xQ7uV1KOXv37M5nw6nLcgoLnUxa2gTZrYVMzmEh817NCmxAyEU7g9f5XFTvefX2whD8AF
qlHWWp5+U85Jpm2iuY+nTj0kEi99HKPjdwPds1Dp+4bxlUC45ICP2YCdbg9gHeM0+M4pNrzLEzuO
0Gl62IusQLtgjj0x0ljMoEFQup8LzIvVdMzbmDzkhpGWAN02KQAc2OL4f38VxBEa3QjB/pDF7Hig
FT5OWEwdChok0TxYOSI+rdD0t/MP+rjh8vs583VTDkWpgN93+ZlDr5JimhmViL/SrSLrGO2XSPde
qU93g4z9vW7AOJ2wIB7OX3mxJ5m/17laOUPKiCphrj/+fVo4dGaE2R0CeG3bLIUB5ifGm/IYGTio
lGbIbwmUUz5bRFMg0Cz86PH8HSyOtP/8eNQZJiUnwce1tFvXfqm2hj0vNj0g6lABIV9FBnrAWEZP
Stsn+6Jq/F3d6t0BBG11HUei3cdCDuspsZor+uisrP5IqjFxz92FmWb+kv5foeSfu2OAsYVQBe3F
mUzz56Tf4jZts9D2XcWqxH0sZfvo12wjXBqI3Y0NyuvvIpP+fUWoRExsbN0+LDNwY0M906ntMc8C
DU7r6drolfwdIH3iCqHX61C39NuxtsfP51/FiVmVJjE7jVnPxXF8MRgcv1VTQFw4GAGsrZOKproo
4P865OqF6L2ltyGo1rswl524KgOQECFMz8yqS+3AoPlVlwwta5wKk1btSx9DZ1qKTaX37bAyxQzc
x0OZ7s7/2t+tp8WrpdVBXwrxLrIkffFqq6FKe6yf5OuOk4EXVOFL2BNbUV75WT5rEqVaKIDIOnFV
tJHeXelpq/xCDE/eRg9Q19+Xnar+oucf+fs09m3h+nFKM7E1/ahYhxRS38NUn7S905Y1AkufEFkX
ZHBJEFkOPmQrEtt+sX2w+asatEG7p+tpjodaS0djNaSzOqvW4apeQ1Ouze0IoW3PjO8gYDRt+arZ
g97i79asOxvtqrMTiDuZcTPkpKvGarMRQX0SEI40xOTZjbN3GbZrX18QWi0aBL+HLAdhOmF8xwat
48VypBO32JrqxCfsaM215/f9bIjpYDRUebBrEU66EZXUddgl/Q3J1Pm1Mw6ECTkRyMa4zA/2CNAj
CnTnrmxU7b7Tew6YF173xw+Z6XsWZ+Hnp5W2mMlHzfTJ2MBPqKmZ/AHUjfQhpey+nr/KifmUYj0r
BXJM8EjLnbOB/2/k7bPxCqCBdqkdpGutlz6cugYng+3l442wOTJhiwLOF8bQYc/fwYl10UZVhH+A
8irr4vznf+xSUXq3IUEXhJtHivgsNKwBEf3Rm/NXObUz5ShF6Za2JHPVss/MAS5VOTdTTihMuTUS
khlRAGGB8owUEVWLyHdMC+eQI5TZmVoVbjEehw9EnDuHIowJPiCxIvsU5MzYkTqpriNmJ+AYQZ0/
f6sfF1c+coOiB3UappdlA5VYFgpvMYtrmlmsEZmOU65QozecCv7dNALQgH7/NjSqvLC2/pZWHU8w
yETFvHHnykhd9ONXkakViKwAw3wWAShINN+8z4CNH9TRN/foT3xsNp38NVsO4Xb69VWkRv0dGGXA
o0gF/k69On+l3A56T1axeXu+VIKNgkARNS3ZNCpww9K8r90Um++F72wh/fvnMqjAqLfz0A2m1+Nf
HdRa0Vt9r+D/0hoozD2I1mocMH+int2lIpseeg78XyahegV5VCC4fVJJAJqQugvCUc82Bm0pnNSR
mfYuvMB3zZqsXVaGxoo+o33hk52n+eVbomTM0VODFcmHe3y/fRymedNQHuj7/N3AF4hHEGO6G5pD
/G/8338si3xc6yCXaGS4Sk4v+ofemp8auSJGns0Ebfm+nSoo51Giv5ajKl/BVLKtMEf5fv4DODkO
7XkyIJ3QpmcwT1p/TAl1StmNeB/GoRO84g8qt6pnMjtrsZq5yRhPBGGlcLYVjlSxG09GttJrG9Ap
nS9nFZqyuIBBOvXIOUFT7DRtna9jsfJmej60PacpHFj1DM8dKEIpRQ8JFzb4pXjVUwOSRibNTBQ4
6BOXrCpyRqkLwLrGIqboT20/QM7Xo6Fkt+FALor3uabo8drhGN7vfdKakB+lcO3cIAF7TaSciXoV
YU+4szATDZ+dxC9oicqgie6xwjohpOc0Dd0RMrbYn393JyYvVPaUYCiOaLTgFwfdFOiNFbfcu9WJ
/hF6VLQnyoiEo6SrdnllJLeaRzfINzW8Fucv/XEpm7XhSE/mkjkPbnFp8hXR71EA5gSHtd3V2IJ9
aqKUZpqqdKHy2Dhk+2DmNM2fqt5PL0Mn8Difv4cTJ1BuwtApy1K8nCUwx0N3nElLBRqUVWtk4Utf
RibVFvy51WC+2nVV77vJ5qig6s2mnZTuM3qjsIYdOkavZY+aODIdNmdeEagX9jwnns6sM6JExryB
znkxt4djgVHe9314D2L60vZNJLdgDsRt2Cn1tOsLzAibISy7Aw11PTwUHC6K1/NP5+NSTwI874iy
tS0FR4bFw1G82oH67VO5prXGAMnWw+hfOo+c+FglECQaEwIuE8Pw+CqZPY6NnTN79JbjFyuzjAKX
baaVrpRcDhcW65MXY6Wi4oAmGxzb4mKpdBqDeDhOohjWwiqyvzVZ+rnXBvHprx8eBU6e2txLheS1
eIGxFYem8OcvK/PKQ5C1Hd77JLxQfP6tWFysLigp0IpRNkRXtTzdWEnYjb/lyYMjCXkEc/MpaLta
P4RhXn+VqRaQixhrzhoUcwKdAIf+ylf8H1qP3Asqf/LNbgX1NLQ5v1IkxclKJRbF5S+Dhd/lGlkL
o6Umz3//cKh3EGvOHaMGW6wYVBXJFwH7soK4JjZh44wrJKHGhcnt49ka/cZcL5wpZ1QAFltVIOGU
PXyuomStBAUhg12o1eIVCL91wz623p7/Vb9lecuXQdGM10ALzKBNfTy6SmCNNZthBeQ31dNiKJU3
YA4kfkwEcvpYbDEhesMN/cAYJWHcEbeDcRb7nK6tizicDm1vZviuibyQte1vS8y1K5LtjEOu6DeG
02T1DRCk6sJm+8R3LgFqIR1lrDoctI5vW5vyQRTIblc5hyWOpVW4x6r9d7aj3/s2SZeUNYZuEQyI
ee/yxy4haGbYXMLZNp9wARNHSniOqJrN+Xdw6gPHIU9BzaZ2+2FBm/wYS7zHbossVgduuiz0VeHo
0ToRGNz/F7MJVgGUAKglkAAuBtgwmSo5ESMRH0Ea3IR9WB1yQDA7g3S1w/nfdeod8YmjO2BCYWFY
vCOSPcs+Q8G9mkw6/5moarJSU+NCsezE/hExni0oQM8x3ua8XfjjHcUBwHUSMRjARBe4bPWrbT41
yCzqp6HO1kR2lhfe18ffRW+GzwVFEhI0YhqOr2jWYVXoIDFcnwMtOVNDcW82ynBhhH8cFURWIzTX
0LnOh9bFfCNEJqhwsJJ1EJK2Kj79YJWSToU7IrjkFzz1ixBG0+2dLYMchY5/UUvqJrAGrsVxSV2X
tgLKv6ynC3PbiV0nFTwsb9RXGeyaOf/kP18V0rAw9zKfuMpa+V4lkhRBkeJDk2W/byOiZrFnV08q
rtY7cPbltRmN7Z5yMxFhPsSMOIKoI6r2e9xnzvMQ5tktqYHRp1rNkPCcH7wnHv+saJyVq6g8OSUc
32vS5XAeHYZVDRVtVSo5nRWr6R3asZ725fy1Pg5hqgXI9wzgSxyKl3MwBBlqIoIKSa2CAYHw1tyM
Ch7oTK+Io/MJS3oO7b65RHQ+sZM8vu7iNzqN1w45sDw8gNQxzUr/FpHbu+VWprVlp+YLUbVyR8yF
crDGRt47XfyNYOIpB1lAJAX+YoQPcZ9/O/84WOd4uMeLEjdGP4vqGV1q2jbHDz8lq7ManSl0pQrt
4LEeibZ7VQtk31cVCI3omdwSrPaa74tfds336FYhOYJrq2qi4tGEgOMQJ6yod5ksEnMbQeTifKD7
9jNtPmnsefGJtSMUQfsUmdWIJdcaKrrVnS8VdsaOuXGKKB9dAEpCW7EtgW9lkyWguLaNJM+Nagcc
ZOdMk7mmnaWVKyDFCLrMCZzQGvyDzuGgl+pPKIvmU+twrnKnvm+JfLUhGGV+lX3vchHW+IPNImQn
U8xC70EfTGC79gitqGd43yQWFU/W2rlx2+QafCwUIeObTmRisHEqQWoO8SowuaWqFdfUDsvRBUur
ZGuCxvvvA1H0VNkQmoDTKR3zBnFLI9d60ozsmdBsPaJS6X9WaoKupB6acrwxQ7WtN34VAyggEpXM
KLVt2VapeT2+mWwWnjxcMKt+sPRypwcQUJmUcqNwm1rXxnWvds5jDykuwbBDRJFbd+z5hd1bpmsX
HKZXatNN+hqekv7FKjPjR10XiQZ6rDOufA/4zSoxu26XFZmCYFkt4EypYcXWo7bAA3l1M32Hela8
Eaa8CqNKdyFce9qqrQeOgho71lXV67XjilS30i3oEdK0tKhqDIQFleGshPDspz6g98N5CbjRLrQD
g6ybMAj0XQAf7CntMbLXCDU+D+Sa6WUbHapQkhhue2n1s6w18Z0UrfyNwPPpYUqiHHhh1Jg/bBDs
UL9iKyrvCjoK6TrTsNBj8iCX+MrTOTq6qSZTGuS+37yIrrXINbRq8SlLKoiaVWYxdqyocOBUeNhg
bpuwj6892ZkofcYKOF0lQr/fE308PkrhKd/USo5oNYStvDXhaH+Piorsx8wmDovIMrreZPmS0aR6
vSEhevTW1zGzLZLSodQ/WDLbeakC7aRv5JRtVILNP5dlEurr2IsI/7bw7YsVI92Xq86U3vPYA20i
X9MXN70EG7SK4HTddWOYvMdR2t8l4Dne4wq06cHqRXQoE7aCUzag1KUeWD/nkGvFCucPpB3qsSMT
uj6I6xG1vLUxZaslq0LPi2ArxQCPgeieKNpIlCBAHTwPIuMIBjNbQQtSg3VfFt43Y5gIfjHBbIyu
P5H/7TL+yLNMi2A3KEOMTBdA3bOJ0aeZo9Eww5NHS7oJWLwq2UVt1P3IgE58LctaxNBS1BY6jcgo
g1DoKj4laZTl66Ssu3Kl0Kh8J2MSzxAx2xU5NATsTi4QG0PCT6rJ7il6JyOgUpK4dx2qJcTV0iFl
hjRCgn75Dkf9La7qPAT3NerXo0dnfRaLdb9iolVegHDZxEZqZt+6VlP3V4iiLfJBtYA4qzmc8Gfu
iD7BOqd4n2Xm5zfZaEc9UinP+armWffZIPaeKWKi4L2iutUTzZgrc3A9xz3TVbFb3YPQz8lCpQz5
our69LmdyxRtJUWNUCIjCmhsNJLbA3CLn9SyB3xPFFB9Pwlz7CA8mdoXqwu8h5BZuwVDGLZPFASm
R2fEMMnIMzgVheUEhQaJAis2/mujuyrhqEDcwOBQrgKROfeEwibfmxoF6LqPCGo0C8j4az9U+sep
Cs130hXre7XPq2BVGJ363pdtYjFs+5jQdHXm09SsVK5dhfGvtjLVtzFSIdCR5eg/ouYKZ7mtWUuX
rxgwjCxsdVrl+SSNNXmlCUQKnbKiGDrE3lFYW1dDMcFFMkqjvU1Q7Mq1SV5df+2BtRnWpKsmL77e
l/aOKpfxIlAY+3gM4+gJUmPwzpGNIrrnGfY3tEzxWzi2zbOB83XaozQHrNZblDaB8XXNmxpk3u/p
h0xYPPB3FcGksOICdZpTexTvVw7m7a1BLhE/S31KPjN5O/aNanBUJn++yL830iOc1mqVEi1iP0Ji
amTyaifllG49PtPhQfqh2bgjCjftXnQZPixF69UITYxOqF1EWN7oRgNdEJTHdnqjo1C+KRnLN72P
gpq9AA54phoDZPGUtZl6UNIoQRrjSRi8Yd4SOQwLrJzTXH0iwAhJvmpB47ESKVKuIycUdxh8WKsa
nFlir43SY6rQvfiefrVHXLDloAlzytxoAABDi0E8xNS5bkPTum2VOJSrpoQUt4rhMuVg57SarDU6
SM9pWXpP9EEhf+M6qYNtgMMs31iVHrz29lRpOw/1ThVhrU34mVd+z7dG3th/s3cmy3UjWbb9lWc5
fohC3wzeBM3t2JMiJWoCkygJfQ8HHPj6WlDkKxMvVaJFjWuakRG4RON+/Jy912aeyZJWDbTtYE0y
NldwjTa8fcshcVflerC9FIq1qO2v5EdWI/9M7260lp8faSJND9aY0lJzeWMIYZRaB2AZauO8V/O0
uy9qgDI7loGMCsIBXORXnYGrZyqd+CVhgX1aObh/MxWnUA+NpxISttizfktuXQNoyQTcErEtdTYI
GJdQytorEdUNo0UGG8e11d1Xs+l+0p3tr1FsNg7sLotzKzWNWaxUY2iDSk0gpw9oXr3sCVAnXxXz
x00CbC4L4D+P6l5f+jk5CG3yPk1YRLIjyc3yCjib2/uw8Rvvuqy1Kqz0sfLwCW+CocGqzRs5N7DP
Kq9Fm5egf2sCvVWhcBbFKlwiBi2IIrhPunjXmUSigRyk6Rklg1uKyzhzvG9W78zPdDEhVxGo6jx4
7ppPAG1ycmKNrqu+UAeWEBBn8qB9EHsq+a7WbHxZCI2ewLQgpiV5WaoZGXrSIpxbcVlqYwHROrS9
XL+2B+HdKPk43rdxml7ba5fcpKnmLKd64HPVF6Mu2f01eU8EmAdQdMrNIgDKB6I0X4blMwWfS64I
vME8jNWZTULV8GX5bSeJuaQ0Ge7wUurPRacWrFLrUphhIWznuhxAVnqmmJlmpyqEoM77kQ+2AmCR
maZK3pyF9rEzskBj04x9tU7qnZ5RJO0MY9EOVt6DyEx1BXFLr2f6jtiWsru3B5UYeGvUp+Se7yNt
A0mKHlQZi5XILxLFfZ7BEJenFv9+eVGaJmBdN8NMfeFUaY9OpVTLPhzSMocchzn8StTkiwSt0wkL
uh0tMwCRIumvLNHFHftbhSa/IyYO4qTo6nGvK4tw9w5GzvZEZBqm7ULN+2SnxKqV772pNxE9iYV4
MkXIR6jl+UOT6SQD9MwTSr8kdxBeXlL3j6SPYTTHfztpFCoY0f1u9JIikqSwLqGYvOIjiigToL3X
qE8AaJMPViMr/aQ7Mj2B5NRWEgfbajcWHirwkVfltneKlPi72M0PnmbM+cmdxHxV0yZjTCWREvgo
NgQE5nUiOnqSTimiwR6cTYLWkRm8ZbEc6sKlRMNtznsN4MK5LKSqVZFTDpVzWTaAhXyKKUG9gmli
QwfDY9cqZ3Z3DXXxt2kaE2e3wgjGclVaOrHYwkLHXDdu+mNywI2D7pDrVVkv6rUV68QxOpuQIUxn
V39hu5RPfEyWDMCYl3eNMVv0RtrqtoV0Ex9bPe6f1darb9BmF3EE4LnbQ5Er0C3oFfPJodUmGSRU
81EPMzoLmQcMl6wl4xRYkMyry34VShKtKkmBUYs57ACwiUQyc6YK8NXF0tcd7AVn2PV2VehhgybN
4gsTxcZ+SzQR5kSuiaiNaxn0dOFsyy9EybJvzun6hFa+uwYXMRuHdF0gqY/eUFR3xZwWbeSqZTyF
iTZ1nR9rHQhaZAwmUbkGXGn//0JpK4xEoOYhup6BL1Uh0cTjpHQBE5dBf6fD+ZtRHy0NYqo2RwGy
FuesXVMABYUCBaivWKwWFfL4TaQmZ7slRSjl4lAuB9ei4TyrX4de9KdUnYZT2cr4u23L9J93dTBf
4ZBh6LhJQs+6VQvKrrqvevBtlp7uW6UYvjtFHQdZTeLAOy2Mt71kTtEEJyAiQxdFH/P1KRrXD+W0
MfKHcxTz08kbQpxIw49a0S3QqJX+zrn9N7I1oso2TRhCqU2ie3anjQ4NQ2vSRjJtxsSc9Go2SmK6
R98t5bc4reYPtlWzBGpV91gobnsDv4C0akuHj0gmZEWR4bWdXypS7ovVYbj9587C7xotNjp22rnI
UbRzUQ4STbWxiaImdJpfKaeUA6knAQCvk6vcji2aC1E3yztv4PZMz7oZdBXQcWGNZyp1bpB1EnZH
viiuClPvQpEaVNcCVn6YE5K4GxybHrtriDXoGvke6ubttXn5N52qQ0qMx/ji9TsAnjUuXHKcg37N
lxOkP/cwTNXwTKrmF8rg+FZWNAc26Pc7fea3txrsEvoOJmQb/eMcWyEzxTOamaSlQZnFifNOdTJU
ALUrTU9gd0v5iWF4/s6dfvvGb75GsqBo4jCb884aWkqveeW6/tQA58YJEwsng5Xih6xviNdrU+7/
/D795o1nYSGSjnE0Sgm6LK9vr6JmQnYtUshBaZpdM0I2T0wCkYmAYmoQe3ZMBK402Sldzt/kfXod
ZxqknOm9p3b1Di6FeoIPiDbJzDxA/LpJVfznH/mbm8I2yAqI+ISu/7mmb84nt011mVCEtLY/w7rc
qc0llMud2mnf/nytrSn9+lVHfk0YF9JBdITq+XRhVsjBlLWDBGpqmkuvcXrlkJsK4RJGSrxLMHpm
8lGsUkloHqmw5FXXrd9lIm2P+fWv4InQnAe2he4ep83rp4K2zoIetKkb4mWsTo2+2i40+sx8qLR+
vle6Tvss42ktgU9OigliSqewwlvhflMU1XuPjPGbPiueSOROW5ANYmZ9e0K/9L0zw1Xan5aFKe/1
qCtXEwsQBUYLteKuShua2jB5fwbH+znBpYBxjG7XwYA79Pg2nyf6f5Fohzj889N6+2Zsv4uREyIo
HC3nGutel55B3izR1hAuQrkiaXCyBS9U4iqHcu3e0xu+XYyQtDJnwDGCvJVh6uv7MCqT2vEiMiuv
Z/fjwngK9MEIX3T0tiNBslBd5wXtRXIg9fmdz2D7j5+9FCh9cAbwRmyjw7OHYIs8N9p4Qdo6L6TD
de0cjBzR3pkN/eaW8ubxEWCKwSr5Rlln2/mqbVLD1FzNDwUS6tteX7XdQBTE0SVH4D0Hzts5BTsK
AzA+FBTKbLqv7ykp8p2iWGxpouuTG6tS3bDOa4dsKkRmf35dfnMpOBIGDs/NwwZb8/WlJsCq2mji
vEFYSxrKOOSRRC3jr4Bc31tY3y4kXIGXhfqWmTR/2OtrJTD8oS2TgiJlSqC4qNuPGHnKllli7V4B
75QzXO15uKw8RT3Mq/5Dn4B4IapUgxbSZiCcpjmZgJ79TihrRIsm3tnCbLFkFM58KtG9vvObf3t7
NuIOvjo2vZ/Tr1++8smTaD8TviaaVfl3JkbTBQRtbZeRAHP885N4u6IwjOZZe2gK+YSpJF/fngl/
XFG6dQqDQVGrm14UAzARgMff8rSvB+xpU/lc26iPTrk0E6ZIepZOX8hkKrBar31XBW6FCiw0GFno
d23qJd7hz7/xpyDi1QeHTAIsCPgLClDsWme/0RjVIS7VlZgkxoHLxySTW1oZ9g2PHJFskWGiTEu5
t7U6nfcjCcPLIwKiAYlw4cShhJEgA0QQUMDQxZi7ru0aXH5tJ2bKyQbxOJMf5TopR73fkQM3zn5n
xpnu6xiSWl+KuJ5PlWX0V4LEMtKeywTUPIEx8qiIWGXmoBRyuR6kLvR3PpSf29zZn445aJt5cweg
OZytNXFccVxtYqouyrr9rHSKDEvVLT7TezAw/7sCIhsNQweGyWKW7Y49dW5CVIHLFcYeuVzCbYPG
3sy28zAIJzc+k9otH4wsX14cJ6dbmHvm2gT2yKP3qb7EZyJEdVoMk7mUUS6hDTBNzNKHPz/UN4so
DUuOFCBSsUJAUDwrJ7skLgvqzTRQAC8zgbKcoO2X+R0t5NuyCs0A5yODIFGXKnLzmf+6YXKn3EyL
R4SgIm4v80p4ck+I75CGZWX2+2wlrPwRvj9xBVlWV4fezQcRZIQOhlPLRDNIa2IVwkSOOLHpdMR6
NLkyX99RMr29G5jeEMgypyRbDaDq659p09vWJGO8gMmN3CdiYLzFAS/6p/ecD51l0MXVtX1JZy8T
PREr52OliZQ6CU1wBAPBtOZZ+85bu93U1y8tqhCIQFjIOCRz51//NQr/uz5UNgknLdF6xGNpfkyn
JFqqsW72eSLti6mHnhYM0hxOvZUV1u7Pf+mb+gCbAPcTSzbiJ/WNqGdW68noCGIITL1RQIip5Dnj
NLtkOptMtPBGGYFM8/Y6c8HbP1/6zb7NpT1kUJyTUMQyg3/9x0tG7ULNFOapc7cGcICHKwIc4nsW
He1OxsV7xIzfvDrbKRQoInpFjudnNzvmK0dOS7NlbAv1KEvz24LH/p0n+lNJ9/qRbqZtTkKbN3Or
yF//VTEn4bFcILBkdmV9LNwed3nqbZ39nqohjfKhSIpwUFLcNgx+6ylasY4uLUqwmd4SAozGmG6g
5osXxdRKcjwYIF4AGm3EgclC+RE1ifwaK6lgHWgGuuqDPq/36Nf069JxRmenz5kjfLk2BrhLfuln
2WqeEomimMxw5Zuy+XiUmSQpdajotllOI26apYWxUCKIZMZPhtNDhgYw/u6WRjcdcM3Yya6apeFF
zGFjXLyohMuwUBAFhKNZjWtE47kyQ4+kcHPHRi9HH+mV/VEn0iYJ+7bV7ziTzM0Hwi7i5ULqxYrK
XE5jFyG7hiU5AucFXdKOxJUUUzJ8WpFjkfeQtJYM8zTFYJoR56Lvx2L1qChWo7lRlNgZw4n0Aicc
+FjuEoRWho9tu33xsL/Eh1THCvPcMmo+Wk47EkaZpmv/92rxv7yTf21gn//4/1CRN7iTaBib+jXu
ZPsX/qad6O5f+PfwGODqNFSg6HQr/qad6Npf2HXQc/OPwdTiUvov2onl/UWlC1WX74c5yIY0+T8E
fYzp//uX5fzFGfdvmSaSDXbCf0I7Oa/mVA5haOS4PvsdB3XvrIZfsc+OGw8zrCH0Xjjr8KlN7GGv
EFd0OWLHOWVaVV9skKw98Fhnb/QLyhuHcL+WAAvHI5giFqe6TvLHX27h7d8rxa+ElLNVcfthSHS3
vQ1TNdaEsx/moHjJ59JEEibb7qIeBQNE0uv4oWCFAktBk/DnC54ti1yQssnZFv/toOacW0tNpi8Z
3x6M6zYWgdq7/QnL5fj056uc7TOoES0sHyqdos3+xoD69bJoipi0jbZ3cY0CsZDxaqDE6DJGTIqh
P9a6njwmotNv22VO32mLncFI2V3A/v48f2IL3P7S7RTxyykhdlnDGvazyFjt4nNSNeVpqNvVN0mv
RLxSGvW+Gu1555Gi4SuDu7VQU4FJyFRt1tTBvhmN2n3+8w05L7h+/qqtUN+0VvRGf2J8f/lVTmsm
nhEncYgGSdmxLDsHYvYGVJsKjsnWW9P7XM43hJoPF+2Czz0FyY8xdFI/FnXBC6h5dwzLienp0d30
77wV5y38v38eLSVjs10AVDx7YO7qkFXa15wKEs/dRkEGU3mz/yKRNh2cpdA+mpXCdNSGW7LXtJzA
i95K97G0m4t2SMZ36r7zz4JniHidNYNvlU7EuYnNXm1CsbZ4ua0wI4WLZLmo7VM3chi7fkotb/ln
CNufbw0QYBYhuo30Ns+/C93pStKWuyxibF4ydhKO7hdNrz70VN9Uu6CSknqef3Q8Ap8Ik/F6YZ4Z
Yb5oT0qcIp6DMv/OU2HN/LVe3B4Kr/LPxjYrA1Xw6zdZDoPV6aWdRbFjO3f9GDP+U/UpNJOY8Rog
jcDpK++dW3++QBgoVPlo8ezBxyPD4OxN0EVrCC/OQJo4cbLHhTPtV1BF79zv31yFtgO8V1pV2yF7
ewF++RxqW+m9jKyECF0PN9TGyRLQk6vu//zZvbmDG3yIosfZmPcec6Gzy2S0qYo8t8PCXsqrRk/N
Y41YglQfRCj7VWSIL5XKvv3zVX+enn6pCunggEKmJGTfgn2FPOn1ZUez9iwAsGbYVKsSH5TUUn6Y
mkxrRptdSmmlbUAXYxMFzkq/9FFcN7B2EDzoMwJIpW9Chb2ROb3Xjw+F0gF7Y4JJjBfSLysYLB3B
Um8u7X1PejPaSHOV93luJZdblXqDu1G769CGWAwmwbP73RIPl8nKhJ7znoU0sa3U+CrFGCz3gj9m
P6i53lxzGy0LhUAqIxyrkIQUNDao+FBRoEAYGGviNRuf0lba16pSzfVuSvXmxHuSM/R3oPAFhZka
XVBkRTP7unDKh8HNShVhR5foYT2LdjqW+mTXd5JY1UOLxs3dG9qCKAPaR/l5tCxi0eiZlk80vrI4
cAtFmUjrSTUS2dSRs5GhzM5Xsqh7VHYVohtbdMeh9eKHOYu7p9LMSfGp6NC8V+nzyN4+UkRXLJJM
XM57TyVJZZC6dStkPKyETVbGezq+Nuo5QpTQEU3XGPfqv0vN/9a5uX3gby4KCgWJLv8t9xwvO8dx
gjSUzE+klXa06pUXdTUWb12p7X+61rD20eXhSjBHOLWcvbLDkBSUTh6X4qu40BYSDdB6FEFrtOaJ
93zZ2fY/HWFt3wm6xG2q87PFej6rpZk3xXJF8qE13nhVLJIMU6cMTQ0Rk+pQn9B9ee+w/5t7ihmf
MyE2I06k58Oaht6KgmyHPzTLzB0DDnKYM7feGV3iHN5ZB94+PnZTSpCtE890+Gz1GXITUYhorHCw
ZRWya/VHtc6yKFe99UqrKvnO9c798dv9xKbhbhYziAjmuT+wdKwOQg1ZjZVNMrpXud4Pd53Lr1m6
Zh8EmIhPJqNKVFVNj+qj6smOUmNHtnu1sAwnWFu32dtbalvI96Xedgkx8aFZD9AhavKw3/mkfvMk
3I0XT5GI44s+9OtVEh9hyxm4IaAMP+ulEFtoexurgd0O8n9wKepR+AT01tlKz97uaZoGTLNEXGop
B86Z5L5jrigukWfaew/hN1sOHpnti2U8y9p/VtEvqT64+ZRzRF2t+JKUx8Ff2ekBmg3o7uaRLCDD
NKZ3Hv1v7iWHdWCwpK3YW+TK63vZeF4mU2V1QvSzNVBbMwt6fdjiceV7tK3tXr1elDhBGOgrTIIv
DSZNry+VytUpl2GyyYt0zTA34zHqVtGj+yD/QivG8h3T6/bTz69HHYgvkOGLZpwb0eLUKCry6uyw
sTtrNyjLeIlds37nDfndX4XXAorGtrqjC379V3UZkWqeSfJtZi/eJuESe6NKxbVhezSBi+69ztHf
SIKzv4uVwd6EPbh5qXZfX7EsPI9zWK2Goz0pRphnsh6BnZuTt4O17SH23bIIw2FJ29MguzXxMfyS
ch0PGkph121zwuRdr48G11YZLtrgMJuMMHbCItGCBjMpckEzSMoItVrjA56f6YmqHflkvLTlSwYW
ZJ9mxvxjqDKkjKRT67vOEezcpZHOYkdvXHQ+0p0kiZyiy66Jl+w/y1ylbFEcs7pt2k3tV1tD+dzl
Utq+qSYCuZHai+9p02RYSdsE7eRs6PPXuKH8CjwSlBGlrnl3wSFNfTERUyLRsrXqcRACzQpP+0eR
DvF1zOw0oxhZ401qPaqEVndKXSG1QYLHx6TB/mKA0Xy1kLnGJ88pre0mxsutpWQwH03ibuPdUGTE
ui6I9q5NpZfIZBXhkFJarCWHvzFzLgxBPCMalUR+18cOd1Ca2NUXux27KpKi1T9wWJg+kuPIYLMo
cV5citLAtOktC425qbdLtGKuiRLdXgsTxXA9fkxRqbYY9A3OcURWVuWuyHB70V8mNXGfMXmhdJLG
aCBe7FmQZF9WL+syKPckTgMSbLqYHzJbBbdQ9Itt7mLyoVufktB62bJaf9j6hAR9KbJE7PpsTu7L
pQRsoXdze9PbSvtE6TaOvhJnFvaWaa1df6g6ffW7SkF4OhcKlpMMRzUaN1NDS5uvA1izaZQI0m3I
nUj0VhmLo7Dd8bFsSFEMUmHXcCK7pT6NOmGxdOVc794jC9Dbd9KeL1RSYtHmkkS2BK2HXs33MrxD
2Ejq+IInKDUoRQvQloWcUuCXieIwaeq3+bTTatka5LEhroXbjHiNiTb+kKu1AtOoKVz3aiay/qiA
KPmmN7pX7PPGiI8I8YFWFnlXH+FXkac6GSoCdXvVP3AhmpvYM5qnWdbrPe91Rl5w2k7fu4Z4on3R
SH6tXrHJ+ZYbdzdYXN8NSDtr+bMjU0BsiG48Z3itzhdLlMFaqeFzD7tUJVuztpuQLVi/Qo8yR5Qd
lW+o8xw68dzTmngvr+FtL4TLA6tjcA00gaPtWXu61rWu0xlbhbh9MHZo1dqFfbnloy9aG1Sj1e6Y
2CYUKDia2qH3bjyzcW50HnjoWmK+bDVleafSfLtV8TmjYNuqFCqx85nOqFTurFSajQuS0wX+9eJW
cXGPdalX3v25AHvT9+P2U3Ztf7zH4AGf8es11iuQqZrOaEDSsOejbKYlXPKmvoS6b14sQIO/pJZT
E0g+mb7WE3jNAaQJFpfIZgKBU+JPFhYqErN2f/5hb4sEOPTItjj+YtdENPT6d2WlvTF5aydU+2a8
VMXszb5ht8qucdvRjwu7fiKgbo7+fNW3XR4gPLwR1FucvYGznG1ya96qmZXOdljFU3LdZiz4tAHb
I35IWjsEEe0wlky+rRTOrZONzrFcxYAUXM2Gz0q7Vp/+/HvgEvF3vtoDaRgjG2XSjF+LSe5Zhaz1
cmPSGgkVxCROJmpBa1fYHAv9Dm1lFjCozfAbkEJznSQ5xxG95fXBJqMSAMw7/G1a6JmS5lg7R1ng
ZguqEvy5b6zM9qOup74MYqvo2yNHZta62ovlKWldT4Q9eXEtFiPDeiqEqh50u5h19t9u8vxq0PqD
njON8Nkly8bHv8s2isiYpNcZ5MrH1EpqO1CXRSNovdCNmI9JZNfYt9JtDKNhs6vcQh0C2mb2S1vj
pffHCs/h0bDL3vYdq58fXfLHDX8xt/Su1pyTo8Zz+GS02AcDY06aIURG4C78n7OheumSxiyjahGq
eyrR7rOvZYqrwRtxJIFn5s7AenljGe3waK/zOu601ehuBOuuEcSjrSU7M19IQ8ywi30YHFoJkdBl
pR3QSysrwm/1qiJVpb6dWFNGX2JA1IImVcunTiRGkEqUl6gIahpeaTtg/O5Ibzb8Jhtxf8hlqXBW
im68lQ1evbxxa2XPvlhW36sJIumHDeVtPK5eaumHbmlwDSZLn6uRUbeOOLFxD8d1jrvrLTlwuuwc
xu9BYcQrka6lbMxjPo9dv0dSXGQ7x2JOekcuhtgpqWl0oehdWNOSyJ0ssHAJEMWMdeAmm0hW99sx
nz+oidyMSilcCJ5mgs15Eb1CKnPWal2oq+gVdr2hDi9pHM93bNTJC8Y2DNMryI6vFL02ue9eveAB
MZX2E0E8bJQ1IerPnCcBSZR5H+dB2mRdDFhuzshuHOaJXl1V0CnwRowbWYFqP5q7dPwwDPa29EvU
GUR6uEM015Xzoelmpw2HvpS7FksscRyOIYSPyqNAXaFIoe7WmtfUR20BwQBbpXOTL5mrB4WFmNzv
4zGd/VofhyeqhkH1ldxLXL/pM0hXK1+ftoP9VD2ORqNUUTzPFuWdMrXf5wVk2KE1WzEH5AsTc5zZ
qLr9UvRlv4d1al3ma++hE8kSVyeberuOsyjDoZZmKnADLJidTHOw9y2igtQf13kS2AOQxV/KIVYf
MaXxAjIHUb7ac+44UKGqwQl7qA+gkMwi/ZRYcj4olecmURZ7Ug0drTQ+rfViPwvch4C0RbxFxBcM
E8Jl6CkLR5khRuLUirB9gU2Bpx6j02fIzAY9GVnKT2ijSSdOPN40H/Rls8eSs1U2iftJaRQcUGRv
e3VIIF0nKFYH9VGAahgC3HfdSa5m/t1yBgX4pjrRpAer8lWz014NZqdUcat4ygfiF51sqyqVu2o0
ZsyitGke+NTjMZw3jVCRuzaGIE98wL1Q/Jgne7rqkzbXmT20i/Qrc1gfda9Nvpaj48AcUgV5Qnkx
mkQK96me+HxnooqWem7KqOw0SA904PAhc7Aee4RIUjaY4xYHzrIjSxy4DJoi3SSJO9TjEvEEKAXt
pqSoLklf65pqX1P2f56qtHCCsugW7B1zy2eBA0w/KvAJ60iMdcEkioislwFn2BzNBViSC6d0zGm3
crK8jWWHgbeqbROXW+0+FiKxTgPCTyPEcCmxoaRrcqXhcCYgs3C0JejK2S3Ddh50YrGLyumYyyyG
dWBjIbRjbma9PhKlpsItEk6nRMVUZddV3Xdz0I9bYrnhloBhejtZsf5qdnzXIkV5ws+hInNk6L5G
uj4N3wxFYT1zk1y5IVSwSGjpY1sORm4s+d3oPZlCyUJ9mkcFiajBV9nvvZUGZ5DpZvqkxrpBft3a
Y3FvZLvsSTxEQDqrBeOrxG2K4sYxxxqYIpFAy34FxfLDWLrCPsyNgO3iib5jLoABklswU2ZbSUni
cDphefInpD+fBGcEvE8oMaPczWkN4IK1sZtjeXqc4po9KxFN+S3TVlBpBq62jyOql7sOW2oaYg6v
L7slW42gjVdcQIMwJYhB8uGzUDVHpY8wlSI36N1Gfk2wwE2+Tt38CaPI+hUKBZrXtKnZRcfJKGrc
r4O4xNPTMGMiJVjFBq8sThQzZ5jx/WGdH7fqTDRC+1T1Y9sf0tpgyK/q1RSHeYx3HoabEtMBxjfz
72zG/x22/2vjz/33w/Zg/f6Sng3b+Rf+HS3i/uXC2TTpZtGDgQRGWfvvaBH9LzpATNRZzBx4Oht2
7t/RIpb2F9Mc5rHIvRBS0Qb7r2G76f5l0dHGM0OC3Db7Mv7JsJ0J1XmJD0oUca7Ff4jrMGQ+74El
hYtT1auDrG/ch6bObwa5egfk5I95rQxHTCkdXkW691AlmqAXzhc+F/c2q1QnIvQqD3v3q2oWdxkD
uQS+N6aX4RLhmcGZ3bxaG6u+tkwPM15ewwsE5mgTsepgEfStoTmu1ETmZAD2GORFCa+tTTXLX70o
t/LS9xrW3+ZKqXPmis2VZ1UQsdQX0hUO5tj/GBSPAB/jhALqPtWnnTCjtHxKve+NvJi8p3FVD1aM
8ZW4+wyq6mPRGddDri5oI8tAZZYbL3uvrSlgrRev/cqvIwUWnDUH3lhboyqrbkcPz7NeRC4rUcbM
YqqPSyEjqhkmxBeDxVwP+1S+PqyQ9mgBkLM3+5bykhfq42qvx9lbr10PBWaH8937AMgFk7t1k/fP
a20FxND6LXvhyhqwWXSBaS9m0NsbSfCrSdyzeEqqlnmSD1SdEzqRqtf6eOrUFZZ13WBK/a4kyod6
AP5dob0pzdtFiUPsbx/65AtqTF+LAVU9xA3iWD0/aJ3cLZxwGazB2FwjK9VDt1evUrM9rGoCFwLB
+pVD4wMC6Essk9NgAGqdpBUucr501PkmXXqfge9hyjLwBjtZfGlacpULtQoWypCauANdhybS3i21
dvAmhVXxBsl+i5isGo/MMfO7hMum1KmFcTImJOFP+KTZ0uhEzLfleMpBnNXTtKN8rv0y9dJjKprL
qdAongAOWHF/T6sKqdRtXFtR6higqPvbxJ4eercQfmct+8GoLb9FPu8rS/UsmwTxnL3cJY17YUwq
2IDMxaC/EtyBAFeq5q6d1fvB4iavRfGJYm8MdE6X5qr90NTvpjY6IYvz1ZI/oczab2bZwSFCdfrY
coA+IlsDJFgwhqfg6xb9cQBpP8W0kDHnVwvwkPXojZNvjfUFaTp5MA3Njb1cGbb4kTvyevAwX/QW
yN9mH2OBt4rnqu3DSczh4EJPEINv1hdL+sD+Gnb6GArryyLKR0gZhySPqf2q0FKn240D4DcuoeSC
oG2NpC8M1Om3VFt3CNY+jrp4iLP6yJ7vg0UM4fZde8uHZqUezKy7wQED0JbH0lQOszFfLY364pXW
M+qGl7z/5K2HgQ5PPOISq/qj2Tw5vXOa6pA43pvech6EQZ9OeoCZVF5Dezq4RXwXT9WPNLF4KuOC
lHHWNN5ywU5mXYt1Gr84ev/i9c0p/fkwxh1lek8TrPGlYm4zzO7kLvkzO+FHz+UjUSzjx+Cp3zUd
Z3TmTh4ByiwTcRbRp7zQlTISfRLmSXWLSiNSpXuH96jbVRaathWa6U5DOOzkybNnFWuYdIVzo2B4
8ZXVPaaNueKFW+g7uEqyk2l5w6AUIfLUPy58R+DfrlS1PIBi8Ov6eW2jzLI+FXF96GImB53xkI0v
SOhWTo9raNerL9v0q+Z21ymsAJ0qm7bcipO/dBow9kzo1NhcbyBjy3vW0RnFM+znms+akd+3WXUj
t8GS5+gXeul0D02qXGbokDmVeua+Wx4Fgt/V1CdmPw4VQwXhsTEfCsQQzsrkyhwHWs9l3/lqPDws
KbZve9HvCNa56dpiv6oiqG3pnqBkiJ2dtOsh7p0qajTF3hFFZJzIHc+pJbPPhT5cNK4XiSa+cScM
ZUpx6Tbm8gGDxUfwabeM7S9yx7rWyKeKzQu8tmvYTtl3YFH3HBRNKj77ex+Tty4psWmT5+mBOA4O
WKWbn3oTrkRlydtJWMqzMXq0OO0U0OxibeZeABL+1Ofdzu5sUuz4mkwlviRcsr/OOrgPFZJEwBjl
pWPF3SEeFwyFLa2G67Ezsyt4fYhDPBG5mWH7qqFMR93FAKq2xqPTJtUxj+E6u9SsD0pvCaBJEoaK
ol7FSxx/GgXACNuW2RPV1Lyz6O/jfl9y9HdJdulUmbxI0BCHyWA2B7scYLO4bReVCaShigU27OA9
sCvmBVHZ65XTe7tu5ZS2KG6oiHSfGErAsvZiqbPw8ScwBMrU4iGhxYmVuXcjoGrNUVvb0tebb+2Y
PGiKcjCwU+wW/X7IGuMyhjqE06MV2M2tBjt4xmczeXZ93RvmuDPScfqKaRvhVGkuoKwdqtxNycN6
q9fXWLjXzRre3RC8LKLF/oANuz3K3GF95NQdSArmbftL9M9mraph6uohcVTVqWhHuS/dkJvccjDq
YvDxRXEcndqMbEHVny7F8yhTdWfN9MkcL/2IPRxKpHGJA0MczcV5yIoFaJmTFy8j3WP/Pyk7s904
kjRLv8qg763g+wJMz4VvsTNIBkVSvHFQEun77ubb088XmgQGXcAA0zeFSiilFCPczf7lnO+0Avt6
zKTaayrT8dlTtMGq0iwbHcW/zEp1N3eNFfG5UxZY2q8qz7FgJyoPrEV2oWiGRxPCUEikWOwbJKjD
UqnGqOrufxrqNo8dQHWta+1TV8tlZ7Z0bANEi6pzXlh8XE3FmX29MbuzVCgU7Ff0cu5uS1YdDPWy
+aJZf2l5KzklluzkmCh1FVIW9hV1127gq/ZFd1mXHYCVPtu+kzFTA4bjCizg/m2r6z+TlTwRBKuE
qVNxGmjl5Q6i1bPhMCTrBezZ0yZscAj1fjTli9ZXgWpwo8Tb78UuPpqOKk2QyM3HnmXlDpHzznKk
ly1RbJxZ6rCbv9dM5jEbzJ1b9CT4IMhSZ7QtsT8P6XGrHKLWerkr47vSpLtgOj+6S3VNSE0r52s3
mPu6JhG7bXexboViIu0D/pE/GGqIQyT1DLV94LOngrgJI3ePbVnbP5t4mE7btEG7dVOef0zjNLFC
SH8AILV5lc10rah6tPqbYsQHzE7Orki0JepJkQvGFDqmN84QfMOx24ir32a3DI1twP6MqMncJzZb
IpE1sGxMbK3HrtXtE0Wy9Qtg5+KnStwgx7cKEl7vBtd2S2FCwR3w0LyUER5fEYiNrHgrKd1Iq4w7
W2M0Q33QCGDeuJhqt9tOU2qIZzV1852cN3Mv00I9T6RsfdDBdc9NMzQhe1uqpCHb4lsXY9zz9JXu
zFFy3fDrbpmupmYXh641lX1eLt1bD/YASIBOzJEyZROJAnW9b5V2fSH0S730rimPgzGa35WawrQY
5/HJVcSnOdfoeMouHx+cEdHQkjTUMxVd5UPOKCCSDrBjRtHKARtxA5VIsZ8Q69oAHhPYCard7he3
o7UVUw/8V8N/ThZOYM0g1WZ1ro59pnF72J2+Rpwfur5nkrlfABYfJzd71wZcDWw2FfNNLSHIbpOa
BoMt80eX8GT2adWgS85oG/du68Q/rEm6B0PUG1+qbLykjylTGIL4ajWIU13Mq7flrv6m51X8XulD
edT1eb5TtDdKRSSUnxsTDk90anI/nAa5m+1KXpZa5O+MspzDopqs8bS5Yq5Vl+30ZyuBzS7YVX2R
jh+mNSociLoIbCGNi9Y4z5lr7kzGm16SZEFvOVHXawEZQMcumWoSk5dqxycJ6j4RFxRdDxCiXo1i
CeZ1ftCYYfIoTctyonyHTj/V7LtWsXmyiD90Y45KRLtMI+pzpqhnN+UGXJ3yoMjmxZmrH3q5RfkI
RMUgfMtoXrhXj/DSQxwdY7Cw2QyZ3vwUUlUZ36sRU6k27JRmC+d8eNTuLM2O9C3cbvDHOS9hQsSX
UmsurZoeXNYgAq9TWcxYjqzktSkWJGLxdUABRgGoDIemSdNjfg+CLrSp8kYBS7FKjLdtVrRQThof
vt37heb8chdr4h5g22StWXbMV6N90bSO6EbmaS9bCUeYqDfXswgv9Y1c1aIGOGbQ5v2Prdzc56KA
bFAnG9nspXWs0F7LzE6iOEaD2PWSMVzBg+8kZI8jEWrDpRXHxDYirXWfV/WjyRhDt6PPhHgXMz7h
RglttHVGXfPJ5IvigbXxpFiI/mNHXvDpTZqMzIb9eoccN2FsbVRD8uCq0x85mDnowLEO0lLpo5J1
nq+aiph5q7Ken5AfmB4AiJyyySlYoOuhWypkIKlDuSdEhaQ7OUIZf0jEgIBckY9tOgNqgbK6gwYz
Msq9Qyr6wBwMdv2MgVjw18MSlhM4eCA+NjCHvLUvBYSz3aYl2d7MdP1NAdFyGFKL7bNaDGRhVGRf
lkylwmoou2uqZxPIozJj05M4J1o5XgI11qpIS0rS05XS2Duk1x1FVtY/FiHcEEBnSoxZiWEm1e03
vZTrzlL6fjeyiAGavy3uW+ck26PFBPNHjp7yZptS2yvmNEaS0XPmOxhK3jQTBUg6dTlkFuHeCOJM
wS6UAGgGvMu0M3N3UJWsepvbtX8BalZ9wo8Zf03UF8cRpspRQWU4RLJTxx/uZMurLOr8KFKn/LCS
YikJ+4JfaNQ9I1nTrVwiP63xfTS1+FZAhn9WZcZFNDHt3LCnZ9WL1Ff9AzRZWgQkr6qs27UuBkzT
LiBRi9jXtNp+Mclsjpy6WB4Ks1VOm5rRgtk8mJZdqbdY6+6iv15coIish6q3u4eYxYCGzKDlqCdO
YUTIsXXWmUN/O5EQR9fmmH39Nhbck8DdVn9SeuNGJkT6vrg28kU9XYc36YIhitBvaq8MEJZDn+RG
iOa5CUkGYr+NUmlJsh4Q0Nhrz4sqtoI+VpqBVq8FH83ExeyAY2RUm76WuWGEHeS6R1eb0m+JlgS+
YGIUoC+bTfJokQO528xu8rVYU6NN2nSGtmjXU+HiCPbcwkFrMrFKaeqw7gY9zOf6nPLUZu5yUO/R
3VjwYBEPQbEwlDBG66US/SP37OBBz+nZtpGELI2bUqW0MEUclPGc7dVFML7tQAnq9ab+cavJ8vQ+
DroC1x3D4uprlRmkwzI/ZHE1hTUNOtQS1QN55oSFW7w3sVbuNDuNZngmuc6ZDUv9KTfJpUydmbKr
+FmDdqM11977qnpo7zoXSUz7i2PcDa4mKuOp7iV1Axrbtt6mU4mItkq/N2YlOEy9SSpvEjSQK8tw
NlTpacPdL6BtyB/jOBhL/bjUHUu3eeP3kSnUaCW2WLv34Kh6elsFdKP3/vEJ1ylcRFYgewuKVkAA
uLX9yBFiwLhCIUuhZhTwgNIXJRsZDuhNE1ChHhS72Zt9r6LzURMaPrW9aO3XqF23hkqL9YhX5tUD
Uw+b8bllspFTGnIomWTYXetZTuC6p6yLdK0reYfYQA1K8pWrdZRX9le7ZOWPuhIXOJ59aHcIkN0q
Nvaqhs931einiry90kkd+Cj/CNyjni5jAWdsjIpk+YS58MghxxlP7gQ/7Z+VLYHSvsdiW33yjJkE
TzNwJjqBsbs3ZUAxOBAKc2eBSKJAADpgCfHKdiVEiUJP6rYnCUPpBPJLje4K5yG23LB3EiLWimoK
UH11ngnZToGLBTxPL6Mkz3+Cb78mRftbpO4cZJI7MxHFik07doKqbowdtw5kqbIuCDOtZJSmDFG6
tdXDqqm6PSIUASW0gTgGSZYj3+FoASypDi8IQs6xdKgqi+a1T7rAbZ1PkiJYHdR1tlOV4jIVgMiY
SrCMI8gEEWdP/GUFVSd3L0ms6L7El7zvcjaibYz8etBbxi3u+guf9hlZvfXAmQ3+oR5OBqocNAeN
G9Yu+VlMeiEWpWeFOVBoJUb+mWxEzkFBbN5AsX+r82hG273xVPoyD1nDPbAiOuIqR8uRf5Zsws5G
Yp3lIHDUkR99BbbnXpZZX67F0Nu7uUE3nK6npo1DmUmNW8n8ViwkMKXtXiyeA/xON7dvm1eIlXZo
lMxv2Z/PfAwwL/FV956StqwNysU8CyZON2KfJz/psPCM+CH6YttZWfJU1ZT0+qS9rvTaLPbdB11L
+LzqalMYyQwFhX8dVVPB05L8QKFR7lxc6CdLiynY6/QwbE3kIIgJ+3R5VEsoyRXjRQA+IkqqbfON
MrV3TdPhfWzWfIeMArRI1jhPIi1+d3PyqG3Gkb/JK3fi5a52qmzn0y1r5lqrxlGYczfGSXYwM9aJ
UBj9pa2V0BTNYxe7jBdNRG1Oke1YnqFArvEsroZzcql4unpZP7isVGr7LJwYBZ1loTJE1ZScBdHa
P06Z2l4pDS7qOJzIA9CDaTaQn8z5U+EK+zjEyZc6pUWIRum3ZWKmZzHv3JZy47Uvmieh9xyS/SKj
pOybJ4SHBbVHI0uvUScHOdumHVuzNc9r6SbXRmjZflAJg8lmpHrKWjd+Z+g+F9djaaEHy1rrFYHb
bl5R72p22z5y8RBqpLh7lYXwdQTb49WcwTigr6pV3RyTxfik/5na7e+txDcSr13AI1r4JaUN6Ivu
h0m02x4KD2lbY6SwgqpyLRhl96pbHxncqmuyKPo1lQeYeoGtPUGBCkvlUzCHuzmNObOhdLqjCiXB
o/MybiyPi50zbtNLHQ+NtzmLvOa1LkK1KQ49Yo+Lmco1zHLnp3Q6CsOsf+0YiTFm5+BlH0bLBHMW
PyuCjm5N+UnZO+fKQr4OjAKIr2lxgmIc1Mp1IljnmJOv6fXgjh17CrVJMCjtQsVqgO6lvBC5pbuU
uGtJocJQFoNB4cYHRRWXOUGSqDdeS4yalv2g6NX8qUfQAKAvNM0xzDcaYsaub+j5h0s63PmE2Mv9
oZMqYYbTrufMJUuy9YATgGOj29dx15P4s4AOSoZ3MAuEPXSNeaqbQQZxJo19bbgpEwPKrmYchgvX
pek5JHyEDLW/U9EFS0NEQ+YohCe1Wx5Zmhzo9FJhHllaspGAlxYNY/VbS+xT0dXnxUr0QyGL935N
lNMEAuJIxOqhqpJ2nysVjNx4mwhLa0v4kxvxsnJQv4DOjbtZk+fy/rGzqU/oo7vjlJVjqK5rOGk6
n2X/y1XjvEF5yFKSDOzz7PCQZzEI2Dnvo8oxpkDvteRYqcNvmLPDSx5bX9AEgikxjpIJ8pzWIiIv
mxspcWdf5hhGvXpUVPKVq+FX55ifRdu5fuFO+kvrzC88Bo8SW33Q6skX1Y92JtD5qM+WeVpMcUom
sGdKwgjYRZcRYmyB+L/EoVISDqjmhpdKMR+SVq99baOBbCr9UuTLo2arV8J23gTo46Eyqp25Jfmu
y7VjlWS113fUAiUJD1o+H43Kmn2hIdp1KG09Jp1YsnOdo8oMqyo/FsPsEv90SeXRrvZ28VIXF1ap
V9pUpGl2xPbe4u63ysjuEAE3kOltYUNyRrpX0f0yM4zwU14MJb1OhvokBfPMtEcV0m9EA5vu9e4T
9zYI2ZFbfgnHMyse/Ia0XnbYVeHjMN/ryvi4jPnNHKvkgLjvqvbdsYc+Cg1gfZCQf9tO+RNbUL8h
sqNWzCDb5fwLV1sms1dYY+UjieE90wEo2R9KTw5l7Oxt4dw1x2hxVufmdjnU5OwK+f5PbWT62RmA
gt9TxkKi6ObrKpITitbCa+3tbUxMvEEwJar6oRLlk5uMHqNCP9vco9DXfT0aebC5w85a3CP4Ujfg
4wfTMJPj3q1Pk6Nc8fGeZ+VHhwhjgtYCJXtX3VEtkGLCqh9ufK0ehVJFIgJFEtTxx7W4v8AYHCeV
N67qi6vRbCe5Yonl20wSBmKghIjJi5GapkgYsF96xKsxAC6bQ2K6b6CXANqzg7R7BZ3Bo3Wfz6vi
TYJ0CJU1v04NfH9H5+WXJIZfMRfbiKCbGKipbR6YqbzjMnxqJn6WZXGR37GMSnbdBuYxXcSuMt2f
On+k5Jme9YKdp/wzoSuzOyXozai0CLGsosRKI9ycFwCjvoWrrKRrJDLUK9WfpYbTq7J+zWn8kXC3
We0cAiCHXfay9herFhdjkUf2wb6jiL1ERpRl8amJnY6rOM8pATO/gr4S9szabpi0RtJLNCdIu47x
m0WrDHbm5rLYfemQh9xaewUIrSfqC0S6PGWFCGneY2DVnGiWj0btgFBx4wpdA/0d5ps5wJvzlNN/
MKE2hkDrEB+rpCAkjSDhVHW+3JqjUWV5i54JjFhJRrCXT+sMvgvYeVGpvmasSHZyx6/vTVAr6/LQ
VXngTvKKbpqKSiGyrC/Lgd5HPBVwJ0WZPPUESUHRvqaiLI59Wu1EoUBdcMeTpjnp0TXEHC1O8la0
6XXti4Oa9GhWysUOGd/ZZEqDQcmHcuLzWU4VM8QfedN9Kwoj1RU5Pjpq/gNidm82JyDS5ZEhV10a
O/x87UloI7C2Mmim7bmC6+TQqTxNg5E/pWPKAs0V/ExtRjEFRfvcpkNUFeN16zTcwDk1zoZa7PeI
VFkxn0mL3Uv4vSbqcupyNsJlE2nQmSFIPDs9PKLRpZ/7Q7pGRFm/H52Ck4Wj65DleYQgZgdRKMoY
t3VJx5bbilyUOo0KrLjFlojiS4VQ35zGug1S4wUa9FXnOE/S7iHTiA4Y6cD0ub1/a8ZPROBDiJbK
8EdZaGhXLfJ8rYReZsbEhrNI8tPBYIky6yVNVr/oX41yjZBmPhDAGSX9IZ+Ccjmbdrozkt8ubbi8
ZzRQDYgVQWWveWb5jYuf23bhp3JDtPHv1rhE+vg7NSJFb99R4H3Gq3hU5ru2QA8SsgQ38MEt6N1+
PJeF5ivZJyRmv6XdzDmGuzHKrSEcc646hjKl9bOqgKynUxZQ0OM9zI4oYoKWqKugM7P4BVaJZIvP
5K4wVNu3ZKkcNodW24tbS3nOSzu59cnQPaK/4T+8EcQ29AKciuFqvqb32S+FqNJdLXmiBVHiSB+G
WQ3Z1GNBIKsBBgt1vHMqnNi4awn4UUl0ubStvOcb1ECcJrMNm6o2XutMo3lbBo76HFlq4PYGZtq0
vRp5rf40bd5gs11HBrdl8j0YdnJQCo7oHOTLm1RHhNAzoKawz532eSljyydo4VomKuDMDAAIBEVn
PS42FvlcGx4xZxYvC0U9Jugy0NWBRZ753rnx3q6aW96LH/aIAohR6k+8JWHbKGy9Sg7RRpNPg2I4
XFavLMybXbNilYjnOvYq2oQ6Ez50IgwJPM5HgjU6ohHK31puPbKse9Um46Cl6TdOCFqMFl1hXzIW
pJOX1vPoOEc3Zq7bLubVxfDPTlK/Khlvy4AmC78471L8zimfBUUjmQnrASITbzJZAyK4X7xO4W2Z
ET6yxQCIMwMnGJ/WGSOL01SPkKP3UEngXxnXzrQ/YLo+67M45vp43pBF5iaafVgNBV/lJvZJkT+W
jWVTFya3RcmP0HTeDW5Xb+3JcxmNFKVbKSLmoyQKGOmtW/THipwFRzCVbnTdnxf2jZI1jVpc4rhR
mBLKX2bx3atS+ArFvU+XipKEEa9eLINHJ/o9Iqzk4+RqSxCt2WqLKo3/sy4Up+VkeqlIHwxdPjkj
Cu94i3f6UnxIt8i9Nmm/ZJz+0pWG8trKjvh8651eE8+SmKM3p1jMhbrTjS6yt+RI9htDJLNho52c
8th9pTB80FUB37/PHhfFpd5cH6A5eWtsLkSaVedc5zptdIe3DxyvZd/PZADo6OqDeF5Xr0Ygu286
flCM4O/tZu+cdDqqxnJfKMZeW7uB0rTlrjVpWeLxY22rK+R57n4nvSmpJfyuQ9I7xc9SJ4Oj1D5q
Yz0Yo7yOdR4lzCpwe3xrhiDtU3NfsgbtxNBFo7DvNnolMGS3g42p7+21XqOxWvRwyzXXT/FyekA5
HhYqxbHSH8G5Hqy8gtw/JJ84CB3i8MSHKlfsPoP6nas4xur879abIbIjH9NFvaJhfdCU5Ap6J7CG
8V0TA0G8fSTs9dl2f7kywhj9wLqwJYuiIJ0DqV3pkn40m/5I71Mo0x4kwZfJOlRFD6/yTiqgATVc
4UK9lCyojYERS6UdsLD7SMCfV3lz7AOK+T3GkqelummFCMbRuksBTAIbFZNg0RU86hoXh8RdTh2g
iTCdgRUvKclreZ3d2Shl2KnxNSf8iT0fUyuwrqyR6GyZKFPcKrB7orazd7nt9j66x5NF3rev5Mjp
k8r6I7bqjPTjZsosFJtaeQ1BCR55yE/jAJhW5GuULszNJ+40X03G97Jdj+hK/yT9eAQJ8cxqjZQW
58KM40i7urIPY69Jf+k1Vt/4yVQBaOnWwAaaBYRhJ93BYRfUq0E+wvFAv8yAHVkzjxwbSMqw0uua
6Swd5Y+RSzix+o+urX7FdnVa3elLlh1Q0ninyDgJwEemvib736OTPxEazixK9s+OSbU9WYesnVFa
JWc3H1hD4S6SORu9bzJ/ptCwv4bC+dEvxQMGvfvEq9Ie+rI7j+N4TWfAx1U/oWAgY9htOEfl1pya
e/BIsyBxafPynSL3oHT9ZynT93mIdfYQ9mmZ1dd16r5rFrlkyVaC8bd4UXi1VQZQu2392swBnkHD
KZloji8d65PxMUyAzJAhRAtSEJKj5qyPjoP9Thi7uyrDLtWIpf6MPD1FGi6LzXP4Rs1VO+d1dWVk
Z/tpkZINMbdnUaFcIpio8VN1/c7AKHPgY2eYHQlzj83sHSlIfOS5H1rMvEzMvEEbV1YbOHptyQSv
WcXB6SbFs1DI8Cgvxwwuiz8ZTG7RpqhRa7lXFZvkmeiN1Oczwg5olSR+il/bOCKISl+ksHdqNvEn
TnlKwrOTnrJ05eNr2Yolmg5AzVZPNYsH0FtJ44/EXnox7yrXA04EtD273poABGvZt5m7txVITVDm
GnO7aucm08doycAxznXLCmbt+aDTPAvsqf+o++Vs0CekUWussWe0SDIs8xVNf8CS1GTKMUzhOgmS
MOr0U/T5DxNV/KmGYBAUWmn+0oXybdU9Z6r6Od8TVqq2/all+RlGY8k2IrkvpH6Ng/azUTrfZHNK
3JEveBdQE3WccNCxkEnMJUWUrlVnpNcIGbIDCPRHvq6TcJGisVJ6JPEhaBWeJo2dBLnKHp5Ab02v
cri46cMyvmZ2bgSjZR1yrT0mW7/vuunZKcv2oLS8WqYav5ijhThCIoJZVUSN7ny09OXdzDuYD4uG
g3pUblu7AoSoTuoyPeChfMFjtnN1zERpHxlMxLy5ssRuFFQ5if4zbp56gdathcWNM1VhE8k+q0qf
O2bTjOSgdLlPKrrGMVneEqv86DaiosY5vw2i+D0hOIztL52yYWDJO5s6+w/zqI07Me/a4rCaLWoF
tq5Febm/FnkTlenmQ2qS7PVc+ZwxD5hDEiXWnr5WYckBohQzSqSvSA1XZkZjlWnH2gQU7czFObWR
hDlK+CMl5Opq3jfsiNGS4qlLrfQl69L4uVf4QZGkKkdtHbMvLNfbvpK6+CrssgjLdKpvG/LHbz11
uGE0rDgFN1E1Z+lDVpnzGmimarBqXcc3/J7zAypaRPmOsqIokPlpFaNzWLdOj5yUcM+VEuhcmUX6
K66JZUgFfSsxLxat06JEVaz0ewG125vZib7PVvIZu2hZzPzT7tglaWMzsGvBneQJWwuRA7bnCSra
pcRP9WDrlXJQh+kVRBJOk5gpaKiL+tVuC5PluCb1o1o6CQvN4k+f9D5nbpgmItpUIwCqHaS1em2G
9G11JkRs1uuQoTBVs7q7N1GPNqSnQNScbxAy2pcut8STdBl86p8NhQXgBRsSi3LJ2+KxK0wvkcBS
GEDsmSOJHRtlQjOMTd9n0/jYZfZznzrZ82y1ASYz9FJavRx7hNLBgtnHI4TiobHU9ywbT432O5eK
n010IGxmMOPMI/v4vNgVK0J1dlR42t4d5UKyE5bdswrwzmbnkliPjT3tWYp7HYWdrX6Jmd1iCmNb
CijW3Yee/0Lxzwz5lffWZx7sIhbaPgSJu5EUTPuSATQxDAAumnX71O278xXJqWk1pCWxYKdatI+F
fXcl5A9JfnemscRdEwSDWvbWu/F47146TpUk2PIhNLBSYBVEjiUeG4eOgYNPywJDOzRV9djd/Rgk
k4R6qcTvBfrGSG8orAVix5mYKbiAb2m9m9rs1GTrE6BPfgE7bjgLZzisg0uHuyhMnKdbKd1zPDmu
l4xYYjYnWw5EPyZhAk4m6HHV+TW62cdYEc4rk8E0gjNL3d/iynNnJZrq+x4A3VrRFkhBDd0mh8gJ
Veh+PtBgy+8crtZysWyvLHF0mOklKbZoWtQ3oqFOw4g2tzZ32ZogVs7dP67GEcl4Rfy0VYzDJL0k
l9wi8Qoy6Uk08w5vx64QGOJFVjh4jJeJOguodY1vGWlY/CfV2ACO6FyFO106mZ7t8SsD2eozl9L2
hrluvlzKT65cXp0Z9VuzvNdbEzY1EleHK51VeeHNbtN6+MgAo6q/7fx33w6o0DX3MtvU/5J/MJGM
eiZFdtn2o98qYBfissw5SGYnzPQ2fUBJ53E2YyzE+SRi2YSJm7ysY9KE0Drtr6pvMSExbyPToyVU
Z7n0mfLKhjv1pVHOKK7NCpszySn8LVjT/nUW/Lc8Ftf2q76N/dfXePls/+f9t/5u2L9nSTr+BQL+
33+6ZL97VEnf47//W//lNw3/6+8vJ1/NnSP4X/4hrMdsXJ/kV78+fw2y/D//gX/+zf/fX/wfX3//
lJe1/frP//jdyHq8/2kJNSkmib+/dPjzn/+h3R2w/2+Txa1spq9/Qxr+/S3/2CysfwGwA6wGLxBL
hXF3F/9js9D/pdsgul2sF+4dmQO74R+bhWH9C6CuBeGV/wEbfrd5/MM0NMx/GRrQvbvd1QZOp2n/
HZuFCr3w39yz2j0TQYEtT84Gsbv/TrpbGENZC0NHvxGieGWYHv+WSjPfzfz37Xf5NzBr6Ez2QxCU
umdurY1V+XKP13K5uxPukpkBkHFP4ErRudxjpdL+2qf3iK70ntY1JDUFmbDJ8OJQJM6L5BlITrId
Og04mFYNlAkZ7R3WCVL37plgwz0dTGqUr63LOKpOi+xH4ozEiLUG47Bo/hsvxr3qPNvWkN+0Nkff
PfX63WfbKZjyqsUClVLRUl0IN1x0mBz3ELP4b6DZUCIc8Iqlgr6OPxQNBCcuDAZwV+o+te77nsIl
Ia1phW0FGrsNP3aUsTpqnCCn2SA/zOPr0z5VNtSUMUBikQHWbqMcOpaBtR//jWeDf05U20ppcgYv
0Z/1e5Jb8TfUjWwdAAeI3Wri97R78Btg/2aIFvoc9J5JZo6so0vwMjEQ8TFa+np8z0lSFR5n/cR8
023tKeg2YjBZVXbPes1X6XW4kCm61mJ6j6VuVHA93P69SkyDEzAxX22I7B94DrsrNySyJZVBQoV0
UU9FhA+OSVe35A9663LtcejdfV8x+npUzN5I/hYVceO8ugmy6zT3dKFXBEZnEXB3r2vF1UZEtzz2
RnmKmbLFaxKAsd3zt6g7jm4jOwz0+aFLFUWKVlYun5QmTwjVGoIbJ2d7Q91t7TVyoR8AJwduQgAW
qZqjVtmhole/NqH9cGCHM64k11HtruYK7WeVF9Ucd1a1XRcpX5TYPVLdvJbDV45ro0tegd99GWxE
8kR5z2R9rqaM893B1Xz/iBfEGPFBnQSGTEPfxenw3hXUyHX+0M3rrje6J0Bt3P0OFZBb77pq9VWt
CWeb3CtapEQSj2xpUdUTbejEKbDZ9rw5Vb/T9IJC1+1CJh20vMmovbh06Der3Jrfdz2cvvDM3QNJ
A4BVguxBXX2JJ9hVNaLWaVbsW2Fm7YT8jHeOctI0wkldxTs5ShnSY/mtFQzinfwRPl57qs0B/8Y8
zC/DSo6GjRgT3GiaTP2DjQbFSBg8T91hdM89V/8w98+GpnC1kBFguG+u+qmsD+yoWYkF1JX+rLxZ
qhJiG4BbYrAG4YtE4KLFjysJoBv+IN1xtzDTxpuFNA6spOfiQsyhQY/bh2VMT/E23nR7jgRYvjbp
eUL0QKCon/OH0jIjx+18xU6ugyvYHBuB4S5RMXZR5lgnB3X2MpPfKPJTkkniSUXU5SZ7IGbzAxWA
UpNTVcjQ4O9itP2+GZubFD9Sxn4yPul27ifru0bKAwmGXLhMFrJTFiO1gTruLvtMTX6njNnaJA3J
TEbtkA3TT6ILPCuJfTu9za760i3MBlLD/YWy7ZNH7TSh+NaaFLsMvUogiidkRLic++4F8OPkA29k
aljpvu20T9XCQs6qKQEt/Lw4J61xPE/EBzsEamA3y6NqbLXDSB2KiHNniHEJliyG9WxeZSZ2Vjx/
mXKlezakpj1lPesODYeo3yQFuZ4OzuvyXE7pBYpBvGMGzkKA1WakZmZxWkq5PBNQT/zq9NMWjeo5
+d0jZD3oW/GmWeaumXTiSzWxGwp5ILzwVqHAmYYZdzVJERsT0OxISE/UEOvXGDy901A+KGX2y02B
wKibREGZIQPVuzuthTMd/4BtHQu0ztEW87oO7/qkfnTgyey6ym81yWjG+r+5O4/euNV0W/+VizO+
3GAOgzshi6ysKmXZE0LBZs6Zv/4+lPdBS7K3hD07ON2A0WjZKpL18Qvvu9azLEoFymVpRCcxWzKM
D3j81mWf3owFzru8RgWQTAZFl7KqMcP0V7IwcEClNdycKeHPThSwc+8PdZXs8vaxX5KrQArW16kx
H1G+20IQ3E1KfSUPO2sgb6A2brFArcoMNwadZM5744AnjBIM/oj5YKBlrgVouVIcncAJHeZYPKTa
tFHhAhVD403VJTZpSkbCQctm10qBM2zg6B2G0DScpCAwusGDr/ZQwQzc2GLcGjAvRfR10wC8xiaE
T/biqjRXSgkUg1MMCbdk+nSy/5Om1xY17CYa2N/nuVU/ZpqOV6unG1pWJ6OnwYn3PHGQKt6qSIzt
sDIVPIgayXxFgpe5GdZjXK/ntjy0tIc0+ACsq3N7ilrt0Phkt4sHaagdHHle22ekATLXxxTsMYdH
obyek+6pirSDOOlnqaAQreDHGkZPW2wd2tMsb4FinIzxhO3InpszYWRU/PeqCd5DaVaA3TYWCv4E
UZYaPipzu/QZB2oAHY2exB/tLuW0N4nDY1Q2B/BcD3NT2+rcPWSRRLcUhZuizivYRIhAIq9qW+bW
scZHsa0G/OOBfjOoqXxvomVzZOPAKdCJkvKUdctkWyjZbVdr38yZzk6lP1eGsIrF9mmuO28g6emp
VifE4Xc9cJw1qFIbRizNW9N0mwnQBdoX26+Lh1CokVdF4nlCHbGa5rMlbYkyQPhG+ANxDwIWxVZs
XJOmu5LNzILRY6TXj8jd+MIJ3TXlo9yOm4rJXJIKIBg6p1IjOARkG9DzRjFkiBgWLEfjuEgRg+8r
OQRDJV0KKb9+uhOphgoOli7tYq4XhVSlxa7QelpNHZl8wk1uUn0CcoA5Lt1MygMCIHNfz+NWH7Tj
aNQ/NZa1RAJzMdK4aFEjAS7aFMtampyhY9Kkv1cJ+GN9vOM8tQuKDIHMZF22/tkMjHtsQNvKsigD
UEkan0wiz5GHU9oVS+yuHWGz4Zp8zB0kiJu4o/Ihj9QzEIl0pDw7bPxoluUDfSDx3rIUtv7wluJy
U9fNRUc4dSTwJhXtFi06I1rRPMXqXgKdtCeU5EdOubuBs7tO0ElFMwfkwSTdaHrFu0mJf6u0arEy
G+0QwGrCXRFQENSpOrHdCi9i7k1HNJtYa0JTxTPlXydGN0GdeY5fCj/VWazJK9IXmXjGnDs+ZjoZ
vT03OF2nceBRMqD+zJHc5FPyb2Ug2701XZl65SjTd4WOB+kKtj73lxFJOrGKkyr5psGwGmfZJsHj
ojJzpw8PKdbGSM8d0dyAJX7p9GBDq3Gb9BI5lWxos4BnErPSEbFOidVoFE+Lck/LqIij2omF8Wx1
GoQOxDwJTSpTZ10u7vSlgB7h6buHF4zIFAzHKRIk1ijZHmB6YfpapIYch2lxzkJxMWSdYVIVbWW+
Mn1nhgF786wJNpFcUbETUWZxo9M+Mo2HutKuB1n07xGDUSaK0e00m1ojUQL7SaoLeBcnN+BAoDYT
8oreK4OXXiYRYOo47LcrcmCcZXEdcWvQjCEHt3BzmvYgiRmepKmBirmVJMOdFRD/Zn05sO++JB1F
X1ERs6u5pOBUUiNqK+VY0vPtqx+CGqyn4tSL+6xsXaRXK4vu+xCrXlo+mePo6pzBe5jS7mSRbNsQ
Uk6HKSO6LP/ha/02yU40+XZaW+wbMQ0eEHSsG7w86VRRv0N0O2U+k77sAju4Thd/axts9bZZS9gN
f6ga/NWuLVcVgiSSXBW+5pSaUgEJPOCEQewVAcA9JacmfVAqCkNCfo6I985xv95FQ1Vt8Wo5iDER
WbTEOU6iCmaCgonRKtd5prNzAstebQajdbKR+nDF9cHjfTSatSYgciGcdATLMRgvjV6jiBFvNHyG
1rxkOVdhyypOi0Q22tIhLpav3GieIslyRll5abt+uMzpuxLxSHtG9abA39FSoAv7vap3ysSefCkc
9/vYDI+TpG0IwdYu8xGG+7yPBPkHuma7IZd4rBcLAVshCCtuIyIx6XiDfH/eyFhRDer1VY0Fk/2O
rKPU0GevC2VvqOKbCH9OqmXbcHwa0pHmk3Ik62htlNa6SbV1X/8IxNzFfkAL79kPBzjpgxcoA+p3
Fa5w6mAo2gdG6uk1BTJgx1J/1RibLLviWukP0ivMQu2OeG0WF+NStjKOZyCG5PwYZ+BHTGMDtMSb
+59KxKFCnm7qRj/2gXgwmSwv1KzDncbZc6jPUlwg9cGoZyox9VZFWTWScDnp4SO9Uvq6g7JCWZig
YSaglowgiWR7obZnX7gGDYX2SDsYo/Z9nPoMs7OxIWLQ35J60YLyFWgmd2x9RJvQmYfUuEpNtAmh
iOga+i94FPRWaf2o5PA9DPOcB2hlkh1Gy7Pvgy/oZ0MREYYF+S4nI9gM8qNS1naBwseR9ImTeP1z
DqTFQ86ijUcVZUeYiBc+2x+oxSjUIoUUrgYDRTBjdB+pgVZqs6bVAEIIURry+uF7aDKfy3m9mdkq
Ziq+FfExwTK7iSkEurWsY1Lv2P4o+Y3Mm55x/iAc3loNUKvtMOp3qcwpkNPNgbqitG6jaBNpXYP4
FYNvraXXZNPiFwX5S9QVh1SHUO4VnJbUk5Z1Q7SmFyOB24eauN5Jw4x8xugUJ0W/8wOqSu1GknBI
kuq5aug5wx/h6x/XmDxDVzdpOVUVXWQF1bmqCiYe/YSJxqzGAyQ410C8ve47T9IHnESjstdmcasi
pEfXdezU+j6fsEcuAEETIv1chQGrnODI2JiyoF8bFfKUSarQks90wnH3FXntttBWzpUS6xS12a2D
LzI2KZr9vNbXk3lofbXHydMt3fsrTKlLr++ybNZdWOpujx3OKrb61P2co+3y3QFKM0t+SaxGbGDk
Ol7UWoE+wolAkoBEwWy+YSQm+Tjq/PanL6u+vJmGIY6RGom17y1kOKQVyUzEt+yXAGzAO9Fh62Zr
iUtGNsB+WprUU1dknKVSeQkNJwed/HDkwNaF2LUWCc200o7da9g46d7Wg+9LY7AJtHGxJVILj5y2
qspTn2GSWhVzKh381xjzlrcVLKckLfHmS9I5ERycC+Qy4IHKVWY9IHaazXXdakLv1IVJXHqsLrlB
YSnSeFBeI9Wb13j1CvfuOaeCxuW8BrBPA1ns/75C+Y91x3e1yk/rmP8DK5QmRLx/LlB6j3Xx4/9s
m/Qxf2neFjaXf/arSCnofy3pWIQhgtIj5cgAoferSCkYf+m6ilTZoja4QJYpX/5dpNTlvxT6cTr/
pyaLVCP/w4LRJX6kirqlGxKZq3Bm/lWR8j3/UlPpY2miQg/GNLCMUG2hhPn8eBXlQfP//kv6v7AW
Q0ntctWBktVcNjEbdLUObnyzRT/fT7ht6qhx5W7m2FUK2lqGiXIR+6m8i+KEFYT9vVnq4XUgJupm
pn9msvoeaLgnl6NkfMHtf81X/A+O8NfV8lwMiYqvhaPlA9p4MEuky0KuOKMvNXd+jumV1KXavCHm
GdVOoZZIlWJrK8slvIaBLulViPt7tFsjxi4WQTt1YSZnHnHc5kbRUgVVTMpewrI6ZJFaNLMOYvr8
QRGhvRCrrL2IK1iT5QQBzZbVeL4MdWavrpgRVZo+DTfVEpSZiToD5ivI/ksTmDrm4NH60fr+eBVW
GpJPGWLjWZJprUapQfkur/30u5VkvM1vhh/HiYkl+m1czSvm/v0T4inJpGqbVIxUaJLvv892IFpV
AyTLWm8gQLKaQ5igreilAIFxiKSMGSIy0BGag7KNAjkTbWI8hquyNArkn3mEdZi/gB1gCiU310vq
I9C/YfFqWraawK59ccWvQY0frhjaERerKSKQ8Y8IVBIaGrNhW88uIBCu29zHU1to8jNzNC35Gh7m
TpRL/zbSFtkTgc3BJu2Cn6pftIpTwSmp2d/URyPuAnS2ASdVpLwiJ79Kae98OvlssOjrNRglmvAK
htxItkHXkemOGRuqTT+VjkY7iu2yMsbf5zhhpkz9FNaoLEFE0NoBzSUDJnzpCKzpnbhXtdwWhxwx
x9RO6aoZx/JyHtrW9YWy43wqQAsCzhXeGIhkHzpFonioh9kVrfjysRO5DcxmWDJmq+wg9AXh6IwZ
jbQQYctmkszmpUlLgHpjGnLxRVZPq37GLKRohnAeLKM8FdnEAmG1UnT5+QBaJiqascu4WhoyyysG
g8pSdJH/Li/aBwSpUGV1TQuRnEqliiB7wo6xjXhZPFLqw6AhcNy7g4y3hIwD04UaaHlG16lX8UBe
hiMIOmBF4vnUuj+jZjAwS2JHvKmo1892akK8RDYEyk1X2hCXxBDER2sqaQtWs0+ezCCV07HzC5BQ
eT3YdRnxJYEP6CEFs0EbpP5AVkYSOlraLZQEENGUqfGvkIXALJ0LHbgmqtweBzfTLpogPOZ1iiEw
0JP4GmWFYtqjP9WOIsbsc5s+KBJuappwIA/CdDDY3kvlEpJq+gA4MdBDwBTxRCWNjJAjyJqj0RWa
7smpXF7MAhxEOLDhrhgG+sARqttkNadqdQgz/gJb+0g5R7J+EhpzJNwq73BdJpcyfRRqunPoQQUI
vLz0jXsdQCfckUKD+GMCnF4ZkbAXi4B6kqSVpxit5zeAF4vURUmv5NnC4vLFd/+Hr96CbqEDvcX+
8hpn+mYtADuckG3fyk6XMrgiIiYOiWLpFxUA5fU8KBD1tLR5KuZQ/AIh/4ED/GvUkY9KWroiW7ix
PnBmM+zkPtQI2WnkssDqVY7fYhqv+1qT9w3ShUU1WK01DWu7SBs7tYASyVEXHgWrUl2rZKgMjZh/
EbUj/+Fl0CX8ZLwH3LnyEYUsjVRqzHSSODNGihuqRr+OS8pspOtROI+H2VNgQTlSiXIlJ+MQq26Q
3gaF3wJmpfOsK724xnsNcjFQRMzcho5Qyw9wRKRjZqe58sz2ALFQgyTz8y/ToJP68UUGXP8azQ6D
TlE+vMhT9yqJsiTHh9lx0PN4Gl1fkqd84yfSde6HbePEcW09iGkG0TBO6lNSYlfK4gWeo4V9aRsD
watYCRb/Y5pl4klNpAr7ErpLNy7k6GISq2qXwa8OVwPWK5T8FKPdWpKgykRzc6HkcFx9cnBcjed4
n2oGRUgLRfVQYEKiViyW+6KephdZ7DmTQnEd9giyUZEOp1mv8fGLuhHdyEjk+OITqz5lvNff2BjP
JDrGJZvrma4kdZlxr5B0cKWl6QiSkvL34qtSmawgnwTSXtAnfDjI/s29Re5RjKe8jDyCIOZNnTBT
qUpDT6NFt5r6MRzFSJLRyMph3yPzmpUrNUFTZtTaCHF50g9iG91WegbJCpvfSpoafeW/rhv9RKDh
F6/ln9Z0g1dMl0XFWHY/H2h9XazmicR/YA6jcedIrm7oDEBIztMeKJHRONpMf4rETn1fkYzrSSKg
vSSYq3XUdcitMvFxaqXYCytMW3WmAsfAymqX6M9Xn486ZbmWD8uHAcFwacrLmqi9jso3c0gT9JMC
5o/lo8+S+6pSzL0gIC8KVMnLY133GE3KGiuf5HYhJgRcWt+qPqGngAVzLc8RdQhxcUgK1L6Ib6aN
0/UVdn8TOXIQe5IZqrd4C8lsMagBN7NUX5VhLJDEa2vfSEaJL1pY+OvM6LDtETv81ZfBpvz9Daqa
zsIIjUtiz6zJCj9/c4MCRhwTTjQ3SPmChAXJdIpiHu7lcen+ZZyTJUKoWbJWSkq1c4xcXe+5+A4n
VdDpLyLL2lfvuvTbPMVFcQRkIX1VHHzcxZdm5nMkxnMj5Wp8poXeu8JUd45kULQjMHGD4xXHpPmg
i6yUkrobIZp/gUx/L3ZgCldxKRIVqYqWxHTzMTw3iuJ2rDg8O2U5PGPd1Te91UteJgdfhQ4rf7hd
qPEKpwCZIxUHl/ffwQhLTEjFFIxPMKaovw3rjhtj/00w9JompfA9mtlxYwvXyjMqtOY7oObgjrSP
oCbfDyd1r2E8RDyCCd+wUukJ/8HGmuF72VWqwj6YJ0xHc5bOS4wBZjJ6ekm8zpgzj7K+mAuVRi3t
GnEiZu6ifsxTA78N2IxqZyDcNl1Vib9IZHuNXHv3alEgBfNG8htxPFTwP4w8DnG9iHCPXjq7nhWV
zAxfoJ4v/bL5Fq07ZLXAGK5qmhJbdGExfIFBPRW9amTEsVb8dS2ujxldSG2Vm/l0XaVCFNj6JAlP
wRA1YMbKvdjVxc0Sz9XYIHcKjWgOs35E5Ic0Qdc0rxcC+DpSmrDZ1vqOGoUP8jemXE43OOqIhkLf
EIfRcKKfU74MtSC8iFYWfQsK3XxIh8TcK4JsPA2tyq66tDTtkFQyPHmhwGKOaQXjbxMiepvbFJxa
TtIulONvmdynD+Uo5alrFbec0nppjf2qWKtSzCeJvquFjRz9GtL/Snj1v7OssQSs/nNZYx09oWJv
H+u3JY3ln/xd0tD+wjjNKQFwrKHxGi4v4N81DX7EHhq9E2oLg33ckgb0d1FD0f9azhYEBJmKssQK
8Fr/rbxafsSRVceySPaBJanSvypq8K/ez9L49hFdicsV6hovgbhsjt7M0v4chLFWFj+x4oTbeVve
ZFfSw3LObx0TdNJKd1+SXbbDgHaQNl1lF+thnWyMvbWffmiH/qXdMnFc5DfpVjilL/GLtNI26Q10
SeN5uKPYVj02ruiAhXUq19rITrkNNuxD9/O2f1nQ6zRNnWCHK+2y2umP4Vn9GW2w8RzkRytcdelG
gvl8V9+0h2ZHzLdrndpV6kExctJtcidflofB9S/jreIVVxjT3PQ8udUlxpACCfxN5kYU4h3Ly0/F
5XA7cJSlUXA5H8z1eOju2m11JZyUZ3mnOqi51u1BXycXmletgaRsElfcGV7o6D/jc7HjKi+UvbHx
7zI8KLb1bP5EmRrgJAUcselIDEL3RE+vWZm7aufzoa1dnyxP24i3wXiqdqV1fuqO0S7j1wYX4Xna
Wafpjkd44B5+ym7uEQJjRzuyGFws8yfDNuzSA057gz52zQU6jXODZ8DN3PIg7pRDuELt4VFHuvF3
uUcz3kEQb2fr4Ufue3Xnhg/apthJnuVxQN90R/+yXtzse/+7sUnWKkje1XiJo6TVbN9DtdAg8aF5
uEpEpI2YQY5VaoNyl/bYyYc9Zl9Hd3KP7SPXNR6IEs0c81t7PeUr6G6DbmsP8yHbRJflvloTXBFv
q4220p2Y+yIyl8cSb8Ot4WWbYh3sUanfNN+Fi+xonvmEe8uToGC54ZbNqMljJ1toDc/yStlUjR2/
BARZ3Sf7/jSszZ/TEYhQf29doX++V/btdX0ykZADFkBgJII1wdNgCxvxArGgK67KNcu71z2au2nX
5s7Kgiy1l07CNeOTbO4wP0U4KD3JLo78+1XkyHbg6Xuk3iJ+MTta45v81tiSXV1yUK/ssLWVCx5a
ljv6atwQGoB3WroZfY9GkZB5yHLRpXv4/TM7e9JW46pah6sWMdDxnDm26hRXsccJ36Ns/+K1N/Cs
9Ds5X3G+H0we03eOdYi4XN/BoezKLj4Zg6uovmfHeZ977YlEDjb52E943xhGojNuR7CfePzRFENd
W47pNvIDSX/oDFgB7U/WEdpGP1N/ryEu0miVbkbl2Nrn58YzMG676V61DYdArlUrOsptfzlda7cZ
R/vcLjNk3w5t/3QiisIBdbAK7fE2dU3J2dSFO48OLT2w8GJ6yOBrsNSRoQ6Pj/bLYO2QaLVoLZ9H
FSg9Y1d0/bVa29NjtZvv6UwBSSQzZSVxwtr5z8VNd0YLF+auDlVl3FVbIuCMx3QXnbSb6if1gQ1g
TP/CYF5qvWmXH9Q1FE/xh3ZbuXKzak7ddbnKwQopXnNCbWQDf5iP2h28PgcjyQq0QMJ05OHUyQ2q
SxSw2J6QbyqgiooNWwkB9zsD1LXkqM83Kjagfq3c1DteYVu/FWUHkk1fXJKHYbQ9DW/AG3Z8LM7q
iwkBxR29pnHkXRXhDNsa6TF9jK6Frb7GMJxD8FuPP+noOLQu73GiWcAj7eRScHmptyFVVRy8yiPP
V3xo6pWs3utQP5zsR1nf46JTV8m6JCoFRjj6D92VzaOSuvnTINiRvjGA7kT0lPeclptvlMnszB2u
KsdEiL3Sw70CDmZ24f4zIiAhQrZLpHsKKeiHvmNIl6CPDxCunv0o9RRPue7wgYTnkYCxfie7yR0y
IOmbuseln99W2Ta77+6jpf+Iin1TcvpEeb4Wj7WpO98NfY00sLnDZqTrd23iWeL9YqDdYBETW0Rw
bpOuRIT5D3TCtHmNnQDzi/XIs56uEe+Ym+F6uDbuGFNOzui+aK/E3mlKm4pZvWsvk9W1sZU0Z1Hk
OYXpTcNLaCJ0uQyE1XDf3IuXIgwsb8H5CV5st2tMpxulW+W3wtm8ajYv1gpNcSaulryzo6A+GkcR
GGf3UEEhw5vjaf5wlIIrkjSR5DqjZuffje62y+iBYS1D0IeHEKnMc+xMa3jEmW1soxV23hWWDndy
gSg4xjEGCWaHN/yeh9QJL0Nki8Xg8XJIKyHc1W5XHpHe60+Zza9dxW4PCCzcMm+g0eQ8d69ECNvW
lQ79DlLlZFNoIjosU1fMb8CMkd0KiErt7Jul2npL+tcxehDzB+lUt9+lYEtnvwsOzU+lxR1cPmv1
rXVClNftMmTA4npVuehTTiB9+9G57V13eM4aV4+BGzqogOGI3QfzS3+UUvIdSnkVMFG65RESFpO7
w7AfDSbWhB9cdl6L6Gzq0VFh+T6zYsHHel6MjGZ+p5JMCuPgXliFw5GTeHJNtgyWOwsyGrYnO951
22FVOtWTeWVeUEOJVu2xAqxEntkTf7THdDcd/JPmZKvqCXb8lo/iS8US6aYHlDzUmIRNudVZXdTv
4bZ7Kit72HdPynnYqHscV3ResUGjQDpgya4eBu0sbfRVt5I97hWeLfbBcc3/4MAvUuJYctXYYnt5
uGGsUhJH+GkMG810jWRdlds42vkzbQ0QtPcDzYOXbkvEK/RbQ3DzbOdjlBu9wljvwh2DjNHcHxF0
Al/sNtHq0dyEoy0VHsTNQd/57VksdlhIxnb1IuJoVdevm9F/tS2/KQhLzD5aHN61Gtc/iovH7Efz
8S/9D+wyWmygP9mOY/t4/vFuL87f/7UXl62/dGr2NBZlWQSGtTQRf23FJQsPBNtgUaaFaPBX2CP/
twdC+stQTXqS+CNwLbxu0v97J67+ZS6b8CWMm46lgkHj1V+C/eP86zCKc+Qf85Gl9+UgqiQ0u9jz
mwbCV4Psio8Nu7SPckHXBBAfU7EjjX4+WWIVboTRal0ZNeGFagz9JSlf2BG7DpEDZ87Nm4f190W9
7Ym9Pwv8ugaDbFJLI8r494oNXoVBIUqXQO9OlTbFLFYXhiTUe5p65hflr/fFoV8fxXPlbpd8X44f
748dI9mNWi9aApUeAvqIlBioC1cNbv7Pb+k1oOM/tQA+yBIxlki6ypelUzRnPLw93yStbw6myD0V
o6+5WJXHjQmvil1d2+sXgHTBJkFGR2NV5ZHJ6jRh+NxWRjc9awhajvU0aDd+kOPSVvS6ZEGlv3ST
TDi5NkOf042rhpa+ZlBI4dI56xvaOkZPzJUoLJFd07BM5HjLy29jJGtuURpwnMdUUho3qNrhxch1
wwVlGOR2Hy/F09A0ItGWp1GbUJJ0KNmkQC/3NQih2UMoHLMxHIALY/2fS3VH8wMt+hdP7d2h8PWh
WRL8TkPiT5EC0vuHNipy6huCGACMHp/1agRa2wvJ7vMP+XD0NGTeQ95GU5PooaFHU5cx8uboCYFn
kCMhCZCpYngRAnXYT/6osp0kjAQkVu1KgjbRyRSKeGMFgABJzmQhqpFYJVLbrTKFUm9rlrh0ewbT
F0MH59Ob+uVyeZIocjbHe2wAEHptx765vFomADgtuby5ARhUNvqClRLE3qsqorzDNBZuPn8g8sc5
gE+kD01yLw9E1bBXvX8gYzYiSQP8sjheolspS0xy2MQZYVeRVs9BouIDz9U+uzdkwPdYH/ruyaQc
HrlIxzUYNwMtYGA5fgbNM2Ofn9bqgrUAS/Bo+rMMn1dO2EGKTRNatliWQCc+v4U/PDPqCORFExe9
CCU+vNbdnMcE0uYMHDG7nWtoS5EKYbpr1WMpWy+ff9jH6YrHZakGSR1MwAqduA/jR6BUm84KXWwV
99SRsAh1neXpdMoFXzl8/lGUVX4bDMgo0J9YqiLTafpQJglzH4NmJ/iL7FIs3CwtsaItmXzgewgW
3VQmgFRcShK4ugmyGCyD2jrTLkWhn+WlpNnIQEW8xLoAmJSgr+S2sUbjrMdGqHHYqBRk3G2PLk9U
ySxeIUtLL4JMNDsHsiFwSmqT0egMUd+fC62s4XUoRHCAqpNbwaHRK07OkPWVYBdBLp9bVfctCIGy
fjnMk/Y0ajCVYNwK5Q4J2RK/EDRMVK1e0B4KohCeP4OE2BoaH8OvTcg/Lm0feoOvL5JFq0NGwYNb
8LfvKcFjIy89KtzxhV8hhS4zwt7kkROPOfbabV6k9UMAKkxC3t/qHOPR9LsV/ddTbU3xC55oZARR
p9RPQEb9h4aotjPKbP1sgEHAkBwPCZGHYWvd1UWUtDYwleTx8wHwMZB+mQ1Y6WUSaE1CfnR9GYxv
ZoM2rZM+BcXmFLDnM7Iu8p76LFRI0tZQEeaYp3BGy+a61ap2RSDAaKcaCWa1XvkQ4vHmQafqdRQa
ZndLQKqyGgSWnRWUVSzan1/sMvDfrnmv12pwufg3WcfFD9fqm6AoqeqDvEsUclMQITlaY8Tu55+y
rJzvP0UW2ScsLV+VdfWjgKYkfTPAyIgWlKY8BzVjPEhVFCowIQq4vMkAvUEJFH5k6vX588/+bbu0
LB7USNl3qbyVyDnefx1NPfWwOF+pNuH0VIGcWWlhCbZHC4NbpAA4ITuWB5ZfcgYAupGQSDSm1n1x
Hb/Pd1wBljdmbAPj6msn4s2oMCowAx3CJlsIZwC9De4d6vLEW085qk6RaL8vVuY/fSBSOE0l+8yk
nfxxZZ5JfkJlgRGF/NBVPmGvaPUKUe7YINFpjeyLNen3oSQvjmE6ZuS7W3Q83j/nlmEDsBR64pBW
MF8kYGAN27l/PWD5FLaBmqajVmPD8f5T0tGy6nTgrsIaq2YziPWKJGrji+3tH+9FX8SAlOIZucsc
/+bLGsycqFiLe0FIMDmakFQrQeSjPh+af/oUOroa7x3dJ8X8cC+ZzxTdqxER6xXZjSpiHVdrg/SL
l++Pn2IaOK/Zr6sih49396IFGYAqSLGOUXb4RLVWSTdDi+Hu85v5/R2nU8p5RF4klor2OrW/eWSi
PEYaxkq+/mQYvEIZFa/kr64TevhbXuvpzopxH0pJrnxxg6938H56UTiEKK8SG/6QPhyISnjPFdGo
HEYqfjlJZMVNWyFXBs6Vu8VsUY0E4O3MC1C0U5+b1LphE+TjD4iKL166Zb78cCkKihumb46NKO+W
n795Chp90ChUO9jCZVc+BhWCwUkhE85Sp/ErIc0yPN5/FocVTqI8a1LO2Qi+/yxgz/UoqrhDCtCh
d7ztFtzIGLClw8lBVaE449QDkiyKO61OsICYaewfMpCchJMGXXhXtjj5Thm/5WpUOxSdosax0svI
a0lJF+7AM09zBADVUpo4xzU49ZRQpASre9ON1OkggfcUj9SC55jGlr5uxFrZYLcbgi9e+9+fq8qg
Ugm1M5ZDmrEM8jfPdaxJkJh8GU5Hz7Y6D0hpFoK228yKnn3xVv4+b7J9UHTGpi7SDFc+zJucFtJR
lehHCVkp/kCU3h6ENkhWrWz9JDioXX/+3vx+ZxrqGFTCnB0sxs6HEUMSY6agc4RHP8EuilFpUcpq
Y/T2jSQaXzzGD6KGZYPFTXFeZw2GomC+LpZvnmPWGz6ymyXpTsaiXYpGvmvNptzNZep7/pyLHpYn
4y5LTfmqa6x6KyoAgxNJS7af3/bv0wXIPrLg6UsiT6O3+P4LVXoz6tWKwWugFb2Xg6FZRyPpreB/
CZiyO0KwoTiKmgt9Tftii/77I1/mdWAszO1/OLMmkyplWccjx2uLiWfmXN/ginZCgebI57f5cfKl
Y2qqEscOGqZo3n475fiEDDVCTB027p4Rkggr35CDL4bQ61L+dibgoIFShMmdQyha09fj85tvNU60
Qs4KguBLqJqISFHeridfoUTUTyMRCrqSaMoGdgwxw4Kew3vuYB5OZLeMEplrsWmRKNiGekO7JyHO
rqzz6lBhUgTNO4y9cclkQP0311JNRAAiRPc9oHwstqA1inPQVQntR2jHXymvP35R3BdHXEPljIiC
iSXy/SBBQFhKFVIlJyZJ84JsAHA5I+l9vaIVXzzD378oett02Tm8SyLvx4cVnwwRMuxmoQR3mLWb
JRwGYC2JiJ8Ph98OOAx2MuGI1mYpXs4IH972KaSGg8mYphHQtm9okTHHUHYSYo57gKL7WMtMRwTn
e902sNA5QwpMBSE51g9Z03bI8RXCWG30MvJijCvAdQhh1JJxrQ6ZBnYKAvaq7PyaoFPSz1Di5EEL
UGcGOP7FUvfbxpp7ofBA0QBhq4QJbZlI34w65Jtkv6B2xPkT30hEWT42w9LdniJjpxJ34BJNIl+N
ZRbd+GTjHHS5VL7Q7/z+rfGCscya6CUMjYPj+0vostToU1+B/uD3qRf5RCNJ0Rx8sSL84VPYBnKH
fG3LBy0L8ZsbDfo2jocibx2p4sxSyrK27f1edD8fG69FrPdvMWovzCmGKLKFtrQPoz1siwjcR4rP
0hj9GsHAAFSpNZL6Wu3V8ZsxNP0JFXNzBZBgvMjjZLwtR10Z1nVplQm+OuJwqICxEULdIw6bpjfL
EmJUKf6s+rk+QkJNdS9Jyaf16rjPvvt1j84hJJhsgsKswZuVOJzfUr/GKzuVfnkBQR6NW19X/jEK
pfa+SHH+2YM/Ya8jZ3g8zkkNgiMaJ2SHzdCn3+IGvfZWG0UCjPFd9U9ZqczPaTFGhS11Ku7Lurfy
2zQghVsKMqP44g37bYVTFVVHomKxSeBPCd7Quy8LaC8HH0z5OEyb4b4yMusnWVqo9SrfvOkiGCe1
3BSja0UWbLmMAkrOKQNAXjd35f+n7DyW40a2LfpFiIA307IsOtFT1AQhilTCu8yE+/q3oDdpFhms
uIPuSd9LFIBEmnP2XvvUj1le2cdXuuwhAOuw5PJSjyUziVVGc1Z549qx78juWhP5ChmMvfh06krL
Zu/jlaikUSD3+A44Zh7rWWHq96UwoHoQtOrpSwwrJNb4lUdlFi9KQOpX0osKzIpbTdvG1n628TX2
2RtTC/vh+5Fsfbpt5lEbGxWbUm7aP95ljDKJgfvbZAsMiJeJR6JjwXjBrQevJNV/ZeDJkVxEr8B4
b6b2Be0Li4qXS1WEJchMn+h/uMRwNIY+sfZ/Hh/8NocKzbIPQnIaHc1apYXOtDVykKojPPidNQEx
GbNQ/yUCqC4OaRsV9qrOzTrazRNdb0InQgW4xYqNi2aACHzizf3/Du/o1TGx8KwYtp7N8vBxxOpS
W0oIyKqznUk6OPEMqq+CZkKiHWDcdMsJIrx1qhgJgsti8ZKpSuWrPA+MlzKdzEela/vZrfzsvsyn
bjtGVfFY6IUgHxl6eLZMOT5Qp4ofYs8tc5IoCEy0MRDDpOb5pKvRdYwHN5aGuKllPhVovw3s0y16
y/DcG0bvyqbw/yvH3voXmAiiUAJFCIyKwjh+UhDkmHyaKjhI6EHEW4whOabMWIj7wxkKNtRTQM9h
lATETrBfousRldnrosk8x7sJcHOyka7DMvSMd1z/w/2cKTfeuqYAWTC0Hiw6h1nl5xANYkaMkVS/
Wo/Zhrq0hTBMmwXVbtvvgn5ntZMHWCMqmMBCEIGbjHKiv6u8iSyDvI5ghUKEGs219Eo1XI49jJhD
WE7eLy8ZgIh5fkInmg4G85TwzZ6soSJffNnDkILiJxZuD/k8xHLcRgAOxz6HeVHa1As2BI5Ej7Kq
JmMPOKG5007dPcYYqJCV0J9DPoKvCixsrPPrfEzVk8MiAk2HcKB3vDrqFxbh7JIE0GRYC1OHyQZE
VPXHHH1CDKAAQHkWsOuYqGpfbsjx7S4g0EcjQXP4j8kSaNGspdX8ZCDkXUzgwrAP0rPpfuSI2uOV
LYswhatSo9pnuxC81t48gv6Oo1uPiOJhG07M/FSItf6tLMYPYPxshmkPgBzUS9VMBCjO81VFIsm8
JzlMXVNQqn4mg589t02dayBGHdaxRtOz22EJsDnv+/BISNuhrAyDC06tAnNdXtVdSR78OOLZpoAd
Q2WbNAFmUdkS7zhXDrsHkwSg7lprpyR4Iy+wBRoTCaobL0ATvcrCFkRWF0tu1fTnyNradZuYm9qJ
WFlKqYN3/IQYeclwgBhWV3k3rmJf+wApXYrvPwJnCmjROVUZ7Puw8n1sawYhrV7bkRkw0R1AlZFZ
NOp6L7VWgakgsuRF7vTYlJDQl2PULQ+vmre1gg+7yTxzDogjSmFoumh94TVGcMQN5Ovjbixj9UCk
YE/HpsySn3XXqGA9zHP/C4hJF4JtHomz0H4Qg+fkxHQZk6nw2NugtJ50b07G2nMaYqSj3NVy3ZY5
WjBIq5XeYn7M4DmA9118MBbVjn70o+6CWnfzSKQJ6nGLmBq+ydlubgvC8BaWSDq9j31IMk4jyZjD
U9c/5GXVAcZq2Orzc8rqRZFWCutiDOSlgNjF9oD81wPEpuClEIn+OTahg3iIPZhJJyNTfNiWQjYW
zFH+oIH0uBf55CtCRFRYXfZDQ6JPkbMXxWbC3LtCXj3RtIDXAJtn1OMLPi0Q6UHTTzdwGcxmZQad
ds+bprChzuKpURemIJe1xZiIjHMEhLDK+7y6S+0wrg9DYxDdyxccORdRFREOzhG4Z4Pdcf7etFJF
e2XkJJCVY0EItfThTgG0cPpuQQPVV1Mx0iEhsieaOH3r0oKAgqk8soSFujNrhmkdhlPyNgLLE9sq
jOXO8Nvg3K8IrrAdCobE0sbNK2cr5ClkHbk3hegbwsp85u51Drb8j0gAra+dxiC4mmQ+qjIW3Zmr
ocD3BwVvBCfANBBtIWhWI53OKot3QCISYMWJitFYhX3ZnJlmmT4qZcOd9SpQZ+S2OLmzZgofoGlE
Cj0mNomZnnKZok6ccNzZG1flIGrdqEMZTrajQ2+50fItjUzI0bY9OB00MAJgAUPkCzHD8aq7YG6n
d5KJkXoFSjk/XTUlLXIhh8VjkGmUreVow9wgnlSSV9LN/aYsybtnZgwqDVkt7fPNkpEx31Rhl7zq
oAiHSy9i0TtToSmJ8lADPZ404ui6gm4BnxqIbY20lGWXlCLSn2dsyPejbXCQJU1HRIh06FBZE7Hz
RrjvM93ez2bm4cSxrqhEIa+P+4ugI0ajLc3rEreIEYhXowleS7BElaBjlBFTUvK5oxMjP8Y1VmWu
H6o0ICqoegh7xgz9STRjP9K2eSnc/MCpkQT3/N1Ms51NdLzXm+uQNjOuxesYoA9kAnSrC6mAsRx6
NRl2Y7QPEv8+a8tnyeIOQftiwqB1X2P2Hqb+wvOL1yywVl5XX83WS60fclFi7PxjKbS5VnBw+Qty
SneFSrZpCYOLQJZdkIb5JnXhvmsJ5XF2OvIOFLcB1DF2fgkA5mSZULluYvOHxtFBMJOV6Lu4Cth7
U6IYz+g1EPls8r91EIeZngVqQZrljYiDcYP5bJ8G8kH3yFNxdli6rK9gtzHtJrylILh1x+KgDHfm
Dkvoqt0z+40HoNXUF1Uy/DKroDszJ8LqJrB6ibdtJTGBNjrlsLuDnfkIbZk4135a5cq+Cxtxm/nB
wcsfQ4EXt+w22vJhxrLSXTDK1LYZ/uatOCdm5iEuo552pHq0GnHlJkTaZuMw7505OcjRCelODvel
JNu8Nywyg4NDZzqPscx+Wx2cSIVFo+ibfTXYu5gmz4rDzC6wnJ8jeb8WmLgsoTtj1ua9DdMJpAXR
E6FH/ZowZG4TWAUZy6pO7h10vAlOyo3Ri4wwzXkLSkvwM2780iN6Y3g22p8ObiZhZH8yVbzJmAbX
KKsrOxsvQXJsI+yWYVT+iAtQNoVhHTJhOb/ClBc/knjhGMN4biXofOPpYkA1m8wk7dnmW80A2rbF
/JY6vwZ69IM3/RiE91zwPa2W4KTZN8+E9tq7wQrDnoKWjwI4toetGdZvrpWfTcDLKQnsvbb1MJBl
FAtU92IbsibpNb8pUtCEHqMC9iSMHf3Kh/+jDgmFq4nZ2+qAKa6txzvdDe0qJoaGPDVUvKmR0Uu1
yo5NEnivdV9XV4NqzMvOjJfAwjZ8Thg67sGE/4WM4iyc5JkZoy0m3+syh6ZJWuFl67mwGAkZBuJq
XPtwQliwHdqo6XgWs4/ZJzJ/49iLwaDs3jO7fBhC6yXocHpL+bvvfcSCsmkC8zCIkdOWp1xCOKu6
ji/z0huffNL1ftmoQ95KuyCPByc6XCiTPQghLoTUG6sC4/VtFDZYMz2Oiuwh2WBFGwXI6m6MkjY6
ECxk12tySaZgjTnGwnMNODhdJbJInXVuq/lnNpdWDLp5SqtNH4ODxUnQAx0PW9/aTi3Fs8JZ1hZp
42ldV7gt3qMhJsnUyeqhX0ddbe5VJuAWzY1hbVxppeRqLLmNJV9FskrQ2wRrHS4SpIjZ4BVEoP1q
mnXrrhRJtUuSbj9RqK+zju1mY2GNg9FPAuhgOy1MPzZZ55OJFXtrzh24M8q+AHiMMK+dFXdt/S5N
t7pt7WS8c/2hz4hCTSj8ky/SDaRT5THyezkjQG+7MHxLgDz8Um4Pwnt06vY26Pm4wFHlYbruwpyI
b6UMwtIbZyL+groQyvoRpX7szKTqNFPGtjFPFDkpaTDDnKnjvG7Xsigogbhd25brkcXlLsSQMLMO
QsY0Irmd83SwVlXu4FnWKF+R/gwLFNhyR7Yh0H67P40E37OqytC/iyADk9/t+qhfyaVhsmymOifL
qW8sgjmGZnBXpR9af4FQOSWfWgdTX8DIdJHxAEbaOIOzIO4CqAU8xRyuZkLRq79oA+CIwIB7584p
UHtct0ywOepMLYMtbSlBgmaXWhvHHCRMSkN7f7Oq5fXVrRbPbh8C9veCInm1IsNqtn6uOnKk8OPX
kxSLOkFDKfNi3XLbs8Q+J22ZXQVhydLuZwq6Uy6COVnXmSDKfPAGHGRN0JaMnaiRNwszj4zE0Zof
iwxB1AbdRfwUtLJ69YzUtgFQVBZgwASIpqFNcpQoi1/lk2Mh2+7nkm2ZA/p0nbZLYy+pdJTt2Gz2
4ryGlzNtQi0i7GmyRZdAAde8pBaiwjNKHnm3Fn6U3uWDhcO/LernIG/6a5zH3Dyof54yfUgYtqoa
BgidtRmijweZhEhupjUFvojdOSnx9i8mb/JpSN5hZQ91z/bN9XQUETMYIh9u40YcMhC5P8VYOSid
szToCYjxkdLBGNOvpivqG7PLHD5sF8aUb2fl05AXoDSzYunuorXBKA7huaYrIqrwZxYh1MGtGGLb
KKpmOEjHKpYdkllepMpPsT1QyMK9lMXprSEk0nQqYvRtU19ncIqJusfHPvnOmTd3/XXnlCFZT101
vHLOSNGzAJ5Uu6bP6ysraJN25ZRG8trwf/jp5w7GQrMNbQTItNopxZd1yB4CPOSKQMJI3VhxUf2e
o4JmX68N+3ftx/UVMiSNob43qKcZbLz/GGycb4ngmzkZkOUd7ksC1wrOS1AQ1mw7G1I2M+DQfDYc
xXZq1law6lyzcHZGXS/J20hr5LaZMXWeiQb54o0Dt7bZBMOs/1CcMdUmLJ3o3hdDdcOf7V8Kq+Yo
nyNHuk8itrkb0hA1En3Zqr9WW8V3bZ3JF9X5lthOgJUhdlM04BDUuAmAKo6h/VU2qOSs68gr2wlz
Eg1pxi47WuhptDWiKKXsAVViAhSbusZIStessm0YWemzJZLiOY6Qv67cYOS/TQ15a2Xhlz86A/Y+
X3/BhtIgAQpoI6UCrEnlvOTsqHK4JOR8iaedQttb94oj+9oRI99LzzbgEAoONRwlGgT8NOnNtyEw
U8wentk91wvem5pbEZhr39fkoOYx4J/RGFQIYZUBQFLziJA/t0t/TyjqRUYQNIFu5Lkg0aqgUXBK
pb/hhVeFSUQxH66l/6RjD6a2QtZSADRg5yhNktFXhTY0YUtxxgfeObXBZN5l4x98p8z9IVwUdrb5
qJ/Y0Rpya0H4gPU9e8AvI6KObqapEg/C9OVjDXKQBUyUg7ulYsGYaDPFwh2N1Ds2pMAGapcAWiKf
yyKghzGXw5SEqOWtuiGf5Kr2vMTae3VonlsKOdRmlAHK+Mwn63gzzJG4SYKpxt8C+IculMqJjJC9
x1lERjXW7RmAMKmsBARuC/Kd202T9Hgr3MwQBC61wUtb+cSloYTGZs98Zu/6pjNftN/N7/bUN6/A
/lx5mMc2uFKDn2DHGUR8OyVpZO+LqVP3BjuJdl3IlCFGbgiprhmBcO2eQ/RS4QJV8m4V2mIwJG1K
MBy0P2PloPt5LZi4CMku6onEibGNgE8LLU32E1rtnaLvcAvLWUNY9TW8ScqoDfQKg4gvFq8qu6Uc
4JrnE0tXx6csZrmHiD4DcnPFD0XNm/wDk+jzFahrIq/A/ANsdFvWL+LRhbjxuobB4Etqoiug7uQU
A1rToAINMqmIlLOKn6XS3ptlssiwPmmbPbPTsIIblLFH7P7gmWe//pXlUelsg5H4oKkw5vZMl1P+
h/qjf0Ugmrqupc+Ygh3e+BQau+E3QTAt6MGIIhNywn96ANco/0dpDUsMLSNc7YiFlh70UaPNzmar
jrOU/AxZZViQhvGKw/EJbcSnjg0XwSobujbNCsgJy3//T8fG6iO6yBWnU46e6bYreFCAoZITPexP
smSXL4AsBI9GA56A8FhaYxtO0lHqacjuEA2ASj9gJZDuM2HgJrnjGCLB/Ds/nIqyNrX2amsU5YOt
R+oE7I7PcfZ7m0lKjnoum6rvi/Cfeqf/fhuEFdABuH+Pq8qwwMlDYzu8npbylV11yc6r47sqhKf8
/ZWOWBqLWhNZHWpEOLD4JuAHfHzaKCQyu4tFw/Qx4NifZBf8jWqXnUtZZ4hHALh6ywavzny18wMn
WhOYKV7gT4BvQDGNBStQ5qUUzrTVY16dh8qk3pVRdKg7O3488XOXevqHejs/l2MtSnIHWTlN2I8/
d6QXXlgAjdZAoHGhZgRDBEFElEEn7YNOSTlKMPFvMiacc58fv2Uzoc9TsLNRSfJ8zvbljhKV4GDj
mFehFLYD1sBNEOyHpE+RNHGi0/rFaEZVzujx0TDSJ1he9X9GM7tCQgkndDguZJ53klWj16Sx1P9+
FRtSk0NXN7IRMNsfr2I6XdlkqcScpuL0ksKu2mBR6HffP/3PHXDa+JTbFuMKXTGgah8vw8EjqgMi
TUgaJaqmCe0IUO7UvXlkw9IBSaKrasSVOXcJk2pT+1ftuNTeS7vEdolW1gCV0wusUxZBeKaCHQzg
dL6g6JecF0Rr7+UYeveuPw1bweZ18/3P//xV8ethwSHlQLtCU+/jr09rQo4qk7TkIWXvwPsyKFei
DpQeLrbvL3WsQ1q+Kg5/EJlMRE/wWT5eqhkKa1ADLo9mroNdnQqxFsTy4Hnw/9Qaa+T3l/uiMea6
UAsBYixqUSARH6+nTYPDvDUuMW9xf52xOG9r12236Aq6A9IczO56Nu+GAAQXpbJ64wR9t6dHXd58
/0u+uHHkEThKAphp6PWPvk/TmggjoFZNMptW70YmY8wtQ7XzqbFRdq/8E9KPz+/URUtKo5JiD83T
Y3Uy3FAv6SbOT5Huqh++K6ufpd8Hl4ObZyfWpa8uxWqxTM3Lqz1WmYRGQl1hoDBNGbt2gSFhHMxj
6uBwxOGZf/8cP08bHGh5jKZPLk/AzX18oZySRsdhYcIGg1mK2GV3k5QsA99f5Z+68mg6xdnGCGUJ
iJDNHc0bdT5kYeakKGdGFXsQmL34OURmFm9tkiIwUuWOBWLW9Ud5QxBDiqvRQxiyKujCAmTLR4M9
YNO31/ZMrXzVYUf5YU+h/9DLjFgxPy5nTV56Lp7m3iRx/vuf/8UbwfZlIxfg3SOlPHpIRkNymtsn
DdIH+Ef2OBrXaWVVl7Gl/afvL/V5XPPnQ/Ru7BjwBthHm5K2jztrCudy3Qx5f0aQ/XwwrLI5tA79
yNxpshNz1VfX+7fbYlpnnfOPXkwW13GjOQOCapy8/aAFjmK6oVvQMeGPlJDS/MSM9Xlh9Vg26K6z
6UIY5B7NIL2yhsCSrFMF2mxOAXZ8n9lhexV0VrAHnExZTQswEFY4Uzet8uJUb/+zEM5HqIOuz1v2
I4RDHW0uXU7gCjEswH1VlW9JZkUX0FgjSsMtuaYbMeWDgQx27MCGV7n51kXClZcEJAuo0XyGIBCF
GKdtaTQhcTJZNdJZ6SRFzzKgJRKadWxwbpwIeE1gA5NC3BXJnyBN0AnItCLesA5d6ZOUg+R75U1t
/kISqwFyIc2n8SpPY8rUdOtdSqxp041EMivYKUGUmcFG542RogUf1VWiAhB8ILyCe0vPCLhQwfkQ
v6bKNi/Y+y4HVBRL3krZJjVCxA7iSevI/jsPMQX1LHGfZdqCrI91Jv/KapavAJ0yTQDcTHxPleNr
XJdd6b/j3LSyVeSEY7txOQRHz32nalSRtvKCdbRQQzdjpeOW1viQvii7al+ofqgbwaHQ3LDKq6dE
K4qyU501SIUp+dm7WiIOu5wJm4TTKlx8S2y4LCKQK09BHyjc4meX5shQ684j+8acOXKDmI8UiZZ0
K4x1OvfqIJswenODrr4TExKwbUMI+cuYofdfGWqurJ05kS65sgPZxvgiSTAXMafJ1RTS+ibOtGmf
TcsdHm13MeG7dUbPse19qwUDaXF4HlDKgL8YDdgVhSELXkdFiJZbVGhCJiL1xAbJeAFoVCfVfU49
jLofRcpL7i77S9IRdUA1lb2xldpN/xIpRFyRHuEWEuqZPGTCma1VPoTiIu1BiudNRzu1i10aLsQs
gbbQVVC8WjIgKEZ5/cP3083n6d+3XRZQy0Tzi+/46GtsRzuNypTkd88b5ZbWvr31B7xj31/l3/T+
cfpnr8g2DpEUFyK3/OMqI6K+RM1BT7ec2m4jDT//PfF8ulVJY/HAcTzdKnIwt6MRj+uqTbtNj/AX
hWWzJFN0AWx/ov8UW611QyM1XVkS+D0WOKQRXdRsVElCMgd1Ig6Mut2UPeWS72/hi3mSUxxTFhuf
EF7Z0YNq4qpx+crKdZlW3rUzZGJT2W13Dl2SFozD0Pn+ep/8Cphy8FtxRUYql/0H7vzPfn4QtZmE
Lls5+A5385n3s9iV+/hs/kvSK0GY5YlX9MUKzfUYALhzQuad8GghqDNIK7aumvXm1+Hu/e5w2K+2
67NhtbkdVic2OJ8H3cdLHS2ndM9Ks+u51CifR0jMVAJP3c0Xr+vD3Sw/4T9PbxLMouZyNxe7hx23
st/v/95f3J64kS/G9XInaFsx85N56B6psurBFAhuuUy7lY/jZbuebvoz76LYjdCM6rXcjHvUJgca
/USW3hi76OX7UfJ5Y8K18ZdzFuMnfPLMUZrpMHdDlXApRILX7cMD31Kz69QcnrjXzy/t/y/hMEA4
nR0b3xuS94yuBfo7tbZ4loix2fRH/6vRgc2oyT8c5+GshxzAP743CPv0aEnfZJ+YFg+tqLy7yc3o
Z+aQpb5/dp+lyVwLKBrjHQMHFYWjQ+bsD6M7eS1o5cnX5yNqmXXX085okaAUtJ5M8QtA67DJcILs
sspO9Ca1G/8EgferV4g13uXLY//t/qub/Gek0r6jZ8CLpOBuKXLb9HBws+op6hLzxBHmqzdIO4BR
QlHN49z08dliGstqHzL0OjPS4YBMGTzbODunJq7l5HU011uMSeoQEUWlT9pahD6h3QcLuHkue70P
ZgGwZEoihZbHMfS2NiLroVa5sDjdl+YLLFqS2somuU+Ea1/S7yGcgn2FRKlULMIUj74a1JgYcKao
idM68YO/eCxg79BsM+1RhD7GBsiM9hk6pKUMKKkrL/7OoG7aEw//q6eCMjWwsNPwto+tLNqMpDXR
VqJN35NT7lfBbeL0sOwsP3vsGJ8OUodRnhhcX92bj2eBNYs6Ctvej6+c5HojKhxKnF6ivUPUBs1m
Ckh1/9+/pKVYE+EkpaLqH68dqVXQoHNEvs6goAKxGfNsXAu3zTiTlb6MKEc0ib2NHVHiKqtnNMZh
VvQXUTOZ8sRn/cX3ZGMiRqtEKtfisft4y0QeS+uflpnDcrYJbYrISFSnfWh3yeb7+/7iUhQHsRKy
r6So+a9Y8p9P10FkOloJWSK2DIJd1aE4RBkFq5wt4PdX+mquQo/MCKXGh4PSOtpAYdHtPfb7zFXO
zGF97hFmYZNufhjUfG6z3hUHe06627yb/QM6c/qMRIldf/8r/h0+jz7tpfDHIZi5inrI0a9o/BHF
Tcj5Y1S5T74tktorr55c5OOxJL87TP52Y+JshcjNvWEP6S2flvs2hiNsdqrQ/Iu4aFmXWH/rwj10
M95PC+kJhMTeYQVDEzKSMR/QWs5AoW97c9H3lW32NE5WdeKhfvFJkuaJEJ6+GWtbcHQ3sdXiCbYm
xkftTE/0OcJ7epY9yUBhtrXMIXoEgJCceIZfjBlcyVaIGpsF7pMDtqgVkuOBRQfwBroNbWWXUrcI
6UgHPXHS5VD9eSqmiULrgYARfEvHu3taz3lSwmgGwIW+ZuURCDusEvKWQMMUyM3MvqajLl0TcRui
7/whzedoawqnva0SGSEQcDZTpI3LTlcpm/cU3ivBX3P2MPuLKtFTBapOvah6t202FBKYGbWNtRnX
jncuQFX/tvPa+t1A8n6tcemUJABO9nWPyp08rsoDG+fFdBwxk8kSrodVg1pLxrF8nNKSHEq3AQK8
wk9s3KjEGrK1pYmrxM/q/zTyKrio8waS4Byb43Xezuj1+7C1rpGHk1fl9raRrAPVNu/a1zXp7qVd
I7CeAknwsWsQB9nozH/QyrOeCUlofjrIxckibYJmujOCEOwlwSO23gRla5yroaElSccgO4+iZOK0
TsP3rjCFT1QTUSQxCp6hI/9Nz4b3o86BiGyFq2yIXZ5AaIJz55zuHDLMVkztFWEgabtBidPEm2kK
JV9TOAwRxn+TX70UXkKsMOQGkV9You2LSpRTa5ZdpHt+VNGy8WwBXs1E9Q3TD/Hlj1B4nljJSYL9
juQwXWt/yp3dZPSI04vcb8mtKET21MWlmDY0pbvffl1CzSD/I8+2pPUm6covKv5qVBEEuMGW3l0i
mAqNTTF3JjFzcbVEtBkK4K9RuJxsGV0NRl+3AfsWjmpW+7kTCAsRt8/1xqJbcD5EZTxtmibsH+Gv
ILYy6JO1G1IbmkPhxUF5WY49iKqSvvAqp7L6Ro1gnkHzm2mxyZWfXPU69aFY4hy7KtposkldE4sE
bjQRRSNJDd8TKi28W27tMmhMu9m6hY4Yq2NOll4he3JCKV6YcOYGo0bK4DYjuV9mHr5RKRrz886e
OiKYC2Q4nm4mY4OWfPS2oTHML80oCC1RZj+km5S2EOIBGNA+VMkUCa09LkB9SlhUMQYvEj9MNZFn
mrixQ4bs0JFu29h0Mbe16Rd/mFGosLV1XhmreVgeNWFUvdrDg1blFrD52Oxm7JTg9BrZtmdkdVYh
Smy5YObbqJ13pT+4DUWBuvfPZlxZlGuk1TiM/ATxOgOxpLmW1M7F3Buu2rRmPv3qOivuzz27UcRe
5n4RgIBfekNEvjQN4ZVRgpG5rVyKTF0RER2ZiHzeT/3YwRJHstFch7pCMxmhq87O8jIekLc0RgCc
rkuD6jA3PfJewec7bbMuHO5FUAtSiXoq3Ku0S4dLGNP+c8+C9TvBVtNtcxZJhFhl1BLjgbbK2hrC
186PSOewtNLRFpgnUvGWKrN6GOqcbXggLa++dOXARNmZmsGS+ZR5tmHvakTcXRy/utOknmSQ2+QA
DUPw3rLvwO3Wy3zYVmhTLwcrrc2XPqT1CjOc1h6Ogjh6QcgYo+jpCZ1GYPNoOKN9l5QDJ25zyCGz
ClWRhB4WM0ILT1nnmS47Z5ubvnibMNM/oouon75fa7/YubFVxx6FX5e6+THU3cNpSzgvJztU+uG6
YPt0XRpm/vb9VZzPl+Fv4yiiHMhpCPvZx92SHxLAMisuA+5nS8or6MTiyjmAAtk4m2rXXkXX1t64
y88A0+4AA+2iPbEGW2tb77wtBpNVdTWdhVs0DCfWyS/a5h9/2fLL/7O56ppAkx/BL8sBFxebd5Bo
23e0LKv7fJduMPSc2A180dr6eMFl5f7PBWsaDkO6XLBcvd6tDi/r7e3t90/789r/8QpHG450EmgG
R65gBAA220sB2IpUj+8v8tUbpZXj+Av4j/Xg6DYs5Sh6RazWDS3IbdD2TChE057YW3xxK5yV2GdT
oYrodh7dSiaRySUwgda5UXQHT3nmzs/G8kY2db35/oY+NwwAyJlLR9v0oCAcH1tzr0JXD88F4WyN
tEiQk71uer9+HeLZPy/7ETMJcAT50BqdgKyZCePU0LA/7aPwAOLR5Hjjwer69xX9Z2igM6RPJodi
3ffEAd/hRiybtdQEI6M388hqZDpLbgaEJi9G4vjnRo8Ffx+5ot02eLU4Woo5PfWBfPGi6Q4G0Nzh
XSxuzqPxmoS6I/WoQE8l3ccJjQkyK57hBem6gJtl6bp/Bl00JK3pnm2aL6wiWtnpgJBLm07520vM
6adLTtK0nqak+v39a/uizQL7cikoAshZqg5H5RX8yVNg9YjqSQfNqkt6HmgzpbRwj1UTOmkUtKmH
ejuMQQi3k1RvpDOGEIgbw1OItWX+uy3D9Kbv5bxovwnQYcuoGnzi1jzvCzt3SiyzHqa1oG1hIRsR
8QV+GIcwtRuiTTatbht5YjR+AnfRJUW/QifQo07qY8H++NireRYaryS21TynnZ+r3LmqYtm/dVM3
3LCtbuJ1T9aD5tg5NX8qyewKWbBx741k9BUKL2fcOuThGAfPyvVd4lNRXoUtPMB1hUHC3X7/Hr44
Ogb8ShqKUH1CBvHRhEDlrNVjRIevWFQz4Pzm+9Ap9boNqvxe9hpAOmysP3M+p78Sjso7HEZ2eWJW
+upXYBehPGADzWTBOapE6Ab8joAfQ4lgiIwLNu/InYZ+Tp8Kh73XOo+K6deoSIAnnGgeh21JDea3
nKv89cTzWMbdx0MsxyFOXpxfLRa+Y5ZKX8Dzy2n4rb1OweNsVL2y4aNeCNsdzzOngQUdtuY2r9Lp
RmXJ+MiAwJlj5caPoIrjzUAFZEv7djrjJAWM2or9PU1t90rRqT8x2pZp9Pi3wiNEm8VEC0Ph6Bs3
gYFRM+MbQhEgdrqNS5A7hrMDASDWhKnJEw/nizklArlCoYiYVbopR2+p10MWlPFYrH3aQtcIdpuz
Vk3j2YlX8MmH7qPxXkpuUEgQZx43uedWlFEmUnLv04KGTzxK0ASW8Ax0q6MxC5SOkuyXwFf4yAqz
ryYSIlP1ImbTPzGNfn7CIflOIbhHzvoAdo4+5zkoxokEUSynOtI/U6sOoYmr6cmbPecckWb6+P29
fyFtYsJGVGZRe8AEdgzljHRFK9GhFVZ1oYx3HG3pTqrcMP9m4UDORdlF/h/faSoi2xHE3XhYFv6C
vO5wdPmaLnHg1O4VwIehozHsgP+YUYoys9aL+QrhTvtbFJ24decpeO0G3xy3Gpfvyer55x0A9wEG
ZQGswa05/qDbuKsd0mryddBHxnsh4SiwTFu3bUaNoE0K94pNZ4vLwe0JK/CyQxwGA9FM+FtJeDbK
m9kqpjMgTZSG5jg4Ufj8Yr5h6aFixmtlIEPb+jhNT1kX2SKhsSnzGnmqEycG+P5ajIoVJ3D+ppMh
76QexFNHORIBfGfY5CF29amIqC+ek03xdVHlQTBiE/Pxh0jblNk42ZS0x8g7U7itMGEp94LK+yk1
5xdrE8o8VLNwkBFnfVJn2U46YT4BzyjnzN+ZY6jOq9kv7r0gT+8toDJ6xecv9qwGekU8lfxROJ64
kJbfEOvd9Qf0uNV1HqloladtfTAMYtoszl35iZr75zmYAhg1adovJpuE436wSlAnKPCX68kZzBdn
lAofoaku6gyQViCNBFNt3xxQrLqnKMGfq35celF9hOwN6P4cbUu0Gf8fZ+fVHDeStem/MtH3+Bbe
bHwzFwCq6L2TeIOQRCrhvc1fvw84s7tdVQzWarsj1KEushJIe/Kc1xitNLBcrZ12XNjIUcbZZuA9
4cDNeUUF2U3mm14VyUWUyp76u9N4P8d0nJ48dezUzQia2oXNVnaXJW4f+A50hYNTy7gAvsDnSjOO
HAKHmzLwNoe0K4UgfN32tyinG6WM2SkDI3PzS7IYIrS1dvn/GBLXBrVIdhhRhf3Km9dwRR9GeEmu
qMaHDBs3lCA1+20marntu2bmMhx1OHEQjh8R6PlECsTlJMZmj1Ehnb4PQrMBvOfK5GZBRJXo1EII
6KKz0zHo4WH9BlqYbmaviuYtdOTlJvcAw+H7azRPUBjsk6Toorsmk+2x/PBnj0Xd3TBXl2hW8P7N
Q+heS3UOkxJyJakZFtB/Hiq8yXwn8zCWjPX0p9lakH4KnU2sLbXHIVOzeYM8k3MWNUUNG090x7Dx
n2wo5P+Rg0TXD2DyftyvzGArsxiejkwH+VCQf9mQJ7Swm6PO9vVh9UlTXCKpbqCUg7j6ftEKgzID
aRZs2ysPEYoWyQa8P5PsqprsY3iHD7fh3VBnhdjhZPaxIQAx3t0n42joIlwS+2Cuc3O5gSZYbDxK
ibj8aKK+hg2Od0YW1xC3lKoH89HaEQTSzjNesrQlP1MVMn5sABBqfqIO8a3hVgJ4lcOHoekoK/sP
i8ZznOqWF6kbCF57xDoWvJxCda7dsTfsbQ805RU8q/aCykr3kkPPfNYU7Zfu1eozlDv1tbW7cyp8
+VaOTTZuMKVPEC8pJWIhUdZMOF12rTipUqdTt1HSG3ed16l4i1QqWKK+Yf77vZFAPYJ/hMyKkoPW
DpR6pDI3KkWMuUTtRe/aBEHyJMu9WcP4hSSfj8g+WjdVWWDrISYkN8ir5dgYLU5mvXvAX5+TqNXx
2XDE/HOy6T0/nWbMOspklC/WMqOCoBVQtPxKTRTChd5ugPpNxvw719lOTkwgLQvEUjt/NIRtH7vF
H267VMnQHVplTD+M9HaHF7Y79CyTZCjdGZ1xdzZDs/WmbZ1Z+im6JQJK49wd2dM+ymJ7k4qLOwWe
VbVtLU3utppN8yC7ljDEW2DTWcC/Li1Y8rcyVW3ysrNjhx1ETkB4yng6UdsKqWUOJ7lR6Het6skt
oDHzTMDR4jqnNt4lxpjWkQj0A6q895CrUwOF4RUDQGi495D1pOpJvGLtrLTSQnJ9Yxm6TPX3Yapr
7saNafWbeFaN+wUqzOPiVokOQNNTkCZRZwurnNmaUfRjFXh+5TVQjU1PrtFgh1m2P+BSQCAGVe/K
0MbUATGPOWCoWUhZoCftElPCzE/mjdkMiXcKOU3cO3jMv8EBXZLATTzjLZHc1XyZZelNu9jRr64v
h2ErPHu5QcGlOeckxPBEjwzlve/hsxw7tdfVv9dHa4pyVfpbw4b9cM6wokIZKDUEDnIFG0f1spB0
bbopAXa8JsIZr0ELu0AyKcwYhO43FTHmZT7a84ks9DjINMy8j8yuT6Y01TXg56tGFMjgvRATQKNw
I7vBv1oqQ9gguvdGGkgL20JE+IxrI1Wt+Bhe92BLdoBuAK4g8wNq29zf/aMOu88GHZKgzZXiLHLS
7hyeHtFM7RyLXA/DSdpydTT7VFALpDr2JiYnLGUVCysnt0RHahPNSvNG4UJ7TKI4fVXMgXjSEgjD
U2OdHkDN4jNButq6inWpvbW69ttuBxQIF0M+Wo2zvCMe2d+lrStfvj6n9lysIReBqwAIZRnsggg+
frzJ3xJ0XAJ6p6ubOsDi0nVOpOgb/NImvDa2ptYsyZWWQigJa63GSIz4L5oQPJgnypzuEJMqRcpR
BhUZ/sUf0mSoboqxNo5cST6kDnfmMA9J9Z76vYepMPN4d52XLAxGz4D0vJjZj5l01e/FKsDneoUe
vTiWRJTXme3ll6jT9HmUKoJHULkJdkrQ82YgNGh7Qe7kDZBYbSrEmTrWMCCmAeHEM3QoieS9jytk
DxvkhPdDu0SYNahhFGayMUQHya03urlalLkK6MUTz6ikeSRcPUykO7jikKtdJebg+O6TykynL50p
A0bTjYV5NqYadRejMbdu7IzkW3I3RBBw3AwkioJ4IHfpQaOFf0ex+ci0WFfgXo/D1yY9jfUIseU+
iavnEDVyeK80U3x3KYb6utWdxLpyLhKhnejjvAWrcuYs6GE2sqCslh/buT5278NnsEEXWaZJ8nDv
/hexfVadsz6D3k3XkwAxiDCybn+3helGficwDwY+QhDhqBScBBIxk6rhkALq4XaFl4RdXMqzqYyc
007E6pVnUoeMBjW+bCdr2CZl1CCqM88neWNgdhKR2qOgpkLjz/KNXZntltUtNkXTQqrv+mbrlugh
VGqPXHnl6hdu2/bPX3f84SalA4lEuohLLxB/dS+pkqYIVHaeRWDTedGjVOdx01eDs0Vbtrn/86bo
2JVXCCgRhMzuokLJJmv7BDbdYE4UnHN73tY9PHAg7NWRtNUHWmp3KLmAAX9kCWOEwGjuttU7yiKa
JuUsLSW6uM20ELNBYcnJQ4RaFqMGW3kl+XbklvyRe04IgXvGnIe0DqbVq/DTvPiq06gpB7f9qtb5
cCarHAr5VDUvugHWP3EZTldo5m0RF8oNyW/tVngO3itpUp+azSi2c1YMOVIMpXpm2AuWhriJXDZL
VR+p8Xzw1PbeF1V7agtUPCCz7ZP9tKVecLkny545i/2uxmVehqgvKbdZBJ5ky1k9Kif53A0wjkmi
JadckJGtFNSHkZCahXgjMGnMgD7VTud+EDG+gJZVh/NkqqcYeMMyaCYnLhAgya1nva+NX1/PjoMj
mtIRfkCcYSw/MiJ7RzQhYStjmSHsk47JtTZE8009ONOZJ/UMrKVHkkQmx7adTxsld8oCWPkl+4LE
+HD0iYmxErjSqb/lGlciJ4iIGNp/9jeZzfLR7N36CDz3EC/OqxLnAnmDY4WM6N7pklToHpLng3Ro
ZNUp9gfaad0S0/sgVrzzKDOrQPIHFwwFHcJl1bOZ1BiBi0FrIS+kOI1+3fcHaQseiNlBQgnQP0HS
3iZgmAhQTjn6nlZCWw2l/pMVNHpkUX4SpOgIvq+vzUlz6C1liaQuPRMVjhlh/wckRbEZVaPUtcOU
etf5Ek9AFoq5W8ZtXMkYHdoxnkDvDM38REDRlRv0boZ4oww1ABkp3CXySScihsptFERFHNckXL7u
ms8Ga2US4Cm+hlX6hz3Q3+IVcg1ZRuUSjPjSupddUoinRW/yADJnfNZ7nRVGWWFeVwir3S4moEl0
ZOZLux27LVJTy/evH+eT7Zq0D2l/kpQf9ke7+9ogk2lCyK0ItGRIv9tpgTC4sKNXVXiEVF+3dZiY
JYPFachIUT+jCrBG+n979QUpAdYGm4rwonkTJ/Y53Lot2eoJzQocGpUl+c60RNrJRUGiyE+OtL8G
rXubmm4DlTfZ1lYfvv0tIc+AhyI+EzRLWjykVhNvTFRogH5zKtYynV4Wits3OMAMG62rzROZlC0i
WYX+2E3WciQo/GSRcHcAgcEfLJP9DIvSjo1WGjFuqRqoHGEr1qmFuvqxRbJ26v5Lr/kbjQgEEOm+
BLZjyliPcQQNUq68GB653b2+6O03zRMUHzWlL5yt2ivIu5A6wMF3UjuMrY0s58dMDrOsVEVKQrnI
m83X4/FJB3BuY7rjUiMmht8bjnhwVXC0DIewSC72iK9e2FljnX3dyicznDboXwQIQAfvs4Xh5yyO
mWDis7goP8kxwQovTwFjI4pwZG1/9kKAdriZmfgGgA7end9u5VEh9tj28EnwLriBA2t1Idc9fP1G
nzXjwsTwSG1AptzvN/wnUG3r4SNVEpys25neBco0x7y2Puk3kp8kypk0K1R2Per+tliruNLdPiHF
mWqiRAFO7TaGYmIXqzhSO7IUDhE/4Am54XNW0BBAj71IubUQ/Impn4N2mrgeKKitFq1W3pQFMqZ5
paEMKA0ZumXlXOkGXopZVSpBJEzvhoqiEg7qSDjcev3dDPDrWAbik64A4c4DUsWmdLd/nGk1mAV4
WiVaoG2EVTCg03ddCvvnitBwr5aImPEshbp8XaeGWW36vBzv+Sbqmw4TLkLASS067J1nlFMMnRPL
bwEgH8OqfDIvICqviHSwF6uo+N6IiYScIbDDgJxFezbocPGlcexoP8yMU2Byud4hRk3Knq/abQUv
Fw+I6NBi09Ui7Y+WLHlLiQkuDoGgapMkdJDyuk6rLr6u0MrNQzTO4+9I5b5ITTFCmxz2sT1uXVh7
exzmksYqTGATSOwb/JRj1YJmNdFNqpzprjb7VYKuyX6j4Sy35rQMp4CINkpavGOOMG7M2atPJtJC
Rza0QyId3ANuv+ssATt6cM1X+0gBE6qSXpxgdlJM+u1NTXWCXFW+obyV3rZkh+9LIXtUedEmTcdl
ARM/vWWufqdPaPS47Wj+btUGjRGwMRu7qeTZ3MdIpdSOc+Q8XEdqt9egfYMgIs3Pvyzx3ZFE6taz
6pJBVBRgsH1XuVfoqXoXuTHjgwS37ETJJ/dIweeTRhHeZ6VDm8BjxdybpLIux84aUF7qIsmmjwzW
FWo8/UkzV0vQREoZVlQIg693zMNkMKa8TBDsbVi+UF73IuQxtjPdHLommNui+x4ziR4qQHLf3Hoy
r1F7RBYNBTjvh23HCMySbdG1oLQQvoKdHOXPdtzHPzsUXq5BEegr5sxZvg861tpHnvOT3lnRKaBu
wOsQJK2f/23TbYBBNKlVN4E5gn1mo8fWL9dM+c3VW1FwZunFz9pMl1tNEfPLghDdSj03CzeM6t7a
JED19dOqKop00xK9nrdRmr2jyFigb5TOCDt//bxrt+3NIGY7iB5CR/Jb+4/rVEtTTyWPm+RGG6Yq
hOgcOtdWiQvjaSo749XpE9SkY5BoX7d8uCWjx2FrGkgeogTV2euoHArZSopcawrqRAgp4mvRk+UY
QNUeOdU/awopl7UQxkUYst7umKDuTV7QIIszQnPfIKTo+bWbjv6Cvu2Rt/pk+DlkkFghSl2RIns1
ixijQ6Go1CycCnlQwOuV+1MaujhXPHVBCRglbLDgRqsec8X45B1ZFisDjsCFHOpedyLplSN4qCLc
orXNRnSjF5ZmmfmeOYoj8dghONABBAYYBRgdwE5Cpd3+dMsUhA/i3UDQs9INahDZ72WLufPqeYrC
bTYbXKB1+InednYia9o47E3ytM5tFPUVBSFMn4gO21kYRQr6tgVVSrtwYxGgitfqZ2KWJXLbYmg2
ntCbKFTQT32t7bRs/RFovYdLAtH3kT3mk7GjVLzytlevNebL7mvVjQeKoojqIJut+JmIdLhYCaiX
FmaE96BL1LCQaXr39TI4PPIJl8D6cunnTgNWdrdRV5DZw68FCZemijY1GVHfSCf1z8MzmqEiAKQY
EhiSQ7vNzNowQa3zYG0niw6FYbHv7FnCToesQjWSIu0Z4pqwDM26Oa9Vq2HCplgJr0lgFCWRKCK0
8peki060SScF/XUvrMtidxsygVSRqAL2suoZ7K1QNze5vtS43kf4G7zaeQwhAWmicLHRdfX73I5P
vm7wk3gVGq26KshxJ2LE9xIcCg4cCy4HbaDHrjqiDG17IZ4Olodkjya9II0nCAYx7rKqbwrD2Q7a
0Ei09Jo8R2E0coRfdrnzGqtFdpNE3YBg5ZAfScV+EqoxzVYgODIPq47AXr+w7YuxV7BVLarG2KAy
Z291FWxFiuLIK9FynEKtbV0sn83m3Mrnadt2WDAiMi/uAbraF5Smj4HgDsXgqJcxUowSkR7X372t
plBKDf1hHeEezH1q+JOu8yur4/R7bNXyvcooCG89UjTRJqshoWzGahgeSFwV1TaKXBwUckopqEeg
W/mitL3xBuS9M0O3k5oazBIssUYB4teRAT+MMIkryRswz/BrA6qwuwKmBpCb2qoKgikjbiNjl1Nk
Wqz5TG+WbAPc14TWGM9brbWn68Zzeisc1dp4QxLZPpJcO9yr130TPNlHhECBbvdRaiR5icERo+xE
/QOSr3bhDcavaW76I3nFw82FhlbJC5Kn1Nbc9fO/BSNK7CQFtqE01E5RoGlZStWXusXXXftZKyCc
mKUo86w18N1WOj1K46bnMpR1MZNiLN3NXKH//HUrh52GyxDFAniHzD1O8t1W9LFCE8LWsiCJqzZY
AZNblDDFeadbb1+3dPg+1Adsg81htS0nKtptqeHevErPYw2bleWFZ1rk9HFC2Hzdyic7EIBqkzzi
GgUR1u7t/D12VIbWRPBxp8y7Sup5ehcARcK2Q7ZpYmq+iLxPfTi5uCYPcgxybRhD1FebQJQtFU/U
dS5ykaALnw3OkTP+sLcBdWlEsmiYoPiyXwSirqBFUZ5DPjWbtyjLdQQwO+M+dbP+9Ug/HC5MNDBW
9TsKfWCX9xemgfoPW0im+EgT9iw/qWV+qundOeDPdDOlM+70CmdaABpWDyM77h4HYDrPhM76H6ss
UOmDfA7oREMnD9zY7tCnJRfDiUIRx12Cz50q5zNbF9mx2+46tLvHHdGhxzUcaP/qp7w3l4UyLOCN
EGIs9TZ78ggC/MSlPoP0MiAWU03JUCCZn/Xj8GZwuwyRwRh/ft3vhyMMMhryDZUw6too/Oy+KjRm
+I4cWfAd7GQbL1wWSW4MaPQ3x3r1k2OMd+RGxEkG7YJGd9vCwY89t8DD0I0r7ICsKl+z9Uneaxdj
ZZWI9caW9TuvpJP4axBztSwcz0GkmoCnTJxp8etSR8ohsnNT50jY99nT0Q1r1PyB1N8f9HIxoknr
ioKsy0D4NaLIeKLD/X3sQVs+IuvenqfqqCaBMGAvuXkiTtDpvndLFwrJwkXiTBiIFhx5rMNdCAww
GHsKDIRErIzdPsN4Io+VPiuwXxlysG1mcWYjx/2nRxEYa2DNINn5c50Qu61oc9qrlLfKgLqU8rPO
k+qCUrqk3G+pR5JwBy9EUysnct3ESZnvvxD6V2ZdugBSvAlLvjE1xAm39j/O4FKcAAdrrzISKD7u
Sz2VkYJV4YSYOwyF+hTEFdrdreuEXy+edXHsLGDi9VXZhUnDCj5IfCe5I+cI7dsgd8v5qckS48lA
k+zZMTr1DBy07QtbbU9n5NnRuJTVn4+aadgmJSiGbL1t7o5aEo1eVdrcsQCrrMlWrzyp3QGDmAoj
p6/f9OBSBBiEmyzDtlpjEjntNkXGoIiVDh0OXa8Qrir8UtewqDqPiZSN/pgiKsCkw57l8gUxkX8I
kfbBQO7EJu82eIJwN8c3YhoQ3QvIpqlAUEp98gIrm/GQmAtD3NhDgYndArr7R96SIfPdyjDfEgEo
8CS2xPRD9sZyQQ15OGmQQ9WDQrN1sPNFyREjamuB/E/9WwLR8SSEaj0H1CmFNtwDfbB7GCSNaj1g
KTGYPuQDgFrkRXHfirWlfYwjvbcCU0yITkT9hNKd005LcW46OjjNkg0vgI2NGpsqFIyY+2nU4DH3
ZpaEsV3p153iRSlaIGN3MaCXhAR+GbvvRbyMp3Y95wpmR6lEDB9cKWTp0W6vV12nFFXDCcNFrx2M
OKCSr/xInWS68GIccSDCJwbzQQgss4fJUV4rVBJfhBPpFLHb5dvgdMabSCvltVYTq0TSx4orf9Az
x2PfHZRrHHIV/NXNqUYxkIikuRxXtZuwHnsUPolnkOTLVImMD1iXVDmTapyczCYCPCeFsGPpN3qN
BqRb1ZD98ZBTQ6XTvdcCvwFeELLYtxrTW9NXBxUzK2WBxXXTxyabgoZOImC8YsYWacgX294MVoPX
VJ5KdJxRrmWYZpzS0y3V1Pr7WFSFjuh5J5Hp6tP5sc8b3QwdRAWe8GEoynDwegxLQN+2jl+BRW9C
SC+UHCxtQbyog7Zd+9NSD88Se8NH1NCpLqd105fbnFkiAALWc7Xx8FCszmWNdBEqvWVBPWBAXxaP
ApLr4Yjy9ugzy2wrRFeZ6hQuQrhczWWNsByXR30O7ZWuFmaOzN9S2c0sInTtdV/Mrvbd0ICc+MKz
cBkCQjU8D14hVbQFR6I6Ur+Zi5HZVL0BjxjmB08dmufMtEwwfcCgmCHc+i5J0Kta0GsdqOqEgCUG
EWWMt2qP5GJQxk67kuVdhDiKJa5Xy/MMEQnWU+yLaHKeUPhIq8CIPfe6lu14adCbfJ0jVlM5YzTl
RsJxxBO3kRNQ8nw1KWAiOivWLsPQrKqw1iAvy5b39cZzuMVyMGnaGoWvqbv9k8kEBCCHnGBXayDE
BNRx460HTPCySRLzTs7W8jTlNUIluA36BZmVIxHwISxx1V1a6WVkg7T1erO783VIPXn1SLquQNEC
OptXhqzb4qyxJxcchrRDPUvHE8R+jcBwcQ2DvEzyxgWapQFR8Ynjkw1b1Hj/dcd8co6SAjXgP/5b
L3wvMADIJKnSm8iuq7V7U5X5/NB1qnek+w+jIl6fOwBpo5VYAjBz9/VJxOiFGqdFoEyUPia5jUwP
U2T10RLW1imtZ7BEl6krUYXE9HUxgWU0Qr1pi/FI7uogUAVbDXUcKDjMFo2gefdBNL12+0mHxRQZ
S/TTwxQiLCvZXTQ2/kZ/2rUsBeoLuAoQoJMX2m1qMpspJ/5cnQtq56Q28uh33Tl/bF1AeW8tLpFD
haDC7NptxfQWy+moKOGc2WfbyRTmY5J04sjd/5NuA1qzarg5pLioJu61Ys/ccWvyM200Znh1tHKL
vdmqeuocucEdTkhAWmvlDiTPJ3iY1qBC7mDMHVguiyJLnGUb1UByvx6bQ9gNI4ItJsVB1AVXuP3u
Cw1WF3dpgn+7hwYJbkkleZtAqpl0N0NURrVfNfPQIMyCL4GvpMv00hj2VAWzNaWr0HwznA3GkI9H
Fsonb88qAQ9IRod9ar+C0sVNbrbjhMRIW9obSInuJtNQ/jny9odxEacOURHZUZKkB5NGp3iY6NVq
/jQlWBrMcfaArgxU+75uthRyrWuShd6dNhvYcJcWFDld6WO8J2rr1tHy9Im+wT2NfL33aOSe7ZNo
n/68K2zusxrIHPRICPd3RyiSc9qmGcUkT2B1oqo9UbgHW+brrvikw/n2j9QtcSmXpN1WMr3pMOck
c+vkGpZy3jBdq3muHZlunywfIEa4KvHPmnzdW6TWkNnjlGr1anjToo4D1s4qkuY0j8zy2NgeZEBW
jv46uAAnADoe+ABEVcV53nCbcEb1NsY55jmV3vI0JFZ8quPpfjsMWnYnIpFgYaHbL+aYWY/NyG35
6679uOru3mt4ErJe4AJW95b9EYxrVL+jBDyejbZYcr5EUv0WZ0P/k7tIAuoLznznT81UuheoghnP
2tSk8floJ0seFG5vPkRUap60rMIAsMwG1c/1ajhbemeONzlqnb8QZAVTqpPkvci9pe62Uk7qW9ZP
2KISt5JVT+ui+O1GU6uHlahIKCamtJ++fs/DwaXQAriRSoO20rj3plCf2nOtATYMkJpNQ452E93i
VP+mwRg50tTh/QleOlqoXJ5AL6FAsjtbLVLIUFp6mjKMRD9vVV26fp1W5rVrUDg7dfgP2PDJao55
inzSMkwTCqtkecgf7AOA7bZZkAfCXGjWp/65TBG/xlyj2xpOY7zqcTZvzajJnr/u2cNtivQZjg6M
I/uV+lE6/FvGGTnsjhmEIKorO4Cj0WRZLyh6WVddlEhCiewYGflQJm+VmkX/kwQGVU+GdbeDM+48
am7CpMgyrXkoXIlJsgbP09g2wh2Ms0UYosWnzVDuY92DMuhmdf7geOWAJVmfx7fJFHHbqWoFVS8N
HOlDhqx3aGAm2gE2QEn2jMpP86vqyvY+5nShDGjFyXccmzxkP3Hjuu2gP+PzWFJIwg5LGXxjUNJ8
U4sqyy7nKLMVHzvIBu7WULdQwlyl0ELbBEwTcg0zfyvO0pWnKX7Qpk+0i4Zs02JUmshs+dYqrROv
0MZoOJ0FYYJfclkf/nS3A1PBsl8TJ6s71H6w11qYkmJgiDeZ7LpLEv0DdAUMlE2YCuHXM+QAcUDK
wl3Rqgwa+gPeur3/bYYIqFaumowDOW0nv8p0iGGrRld7ijdJc8qNW0ChcPTrqMpQB/y67YOjg7bZ
zYkeyPdRt96bK/C9FAGjEvkUGGHnIBDg4Ome8e+bw//4Nf9P8V7d/nu/7P713/z9V4VxTSLifu+v
/7pKfuEKWv3u/3v9tf/zY7u/9K+b+r186Nv39/7qR73/kzu/yPf/p/3wR/9j5y8kDZJ+uRve2+X+
vRvy/qMRnnT9yf/XD//x/vEtj0v9/s+/MJcp+/XbBC49f/3no7O3f/5FjfdvHb5+/38+vP5R8Hv3
VfGjTH4c/Mb7j67nl73/+gCeQYVfb3RE8n/9Y3r/+ET9L+yINPYMAm+Aris3oyQlEP/zL9PlI2Bq
q1IVcF94c3/9o6uGj4+M/+KY4pbCTZsLJx6Af/3vN98Zo/87Zv8oh+K2Ssq+++dfaDYz8XbOPp7B
gcNMCLtu1/ZePcatlKyXYFDxVRayuXAkVLKwrplFp7ai2PJ21NpssXynk6K4r5Oxyq/zGY1Jrnrp
FE19KIcq097iLGuKsz6PvPQU1rHm4aerFfChRRL14STSOApzCpEmThKd5f2YlzxZAjtnNt440oi1
y0WdpXLap5iYr34arYgfszwalKuqGEzk1lEJrKpLKzMFGL7E0U7HtBZIuo5VRfZEn+LuXqXEf1Eh
/HdnDEknz5IhM1/ocmDSc1FbYruIqbhxoq5xw0E4YC79hqpk8dPqpTZQcjegjl9Gq1KJGsaGNqtP
6sJ96Lpx1aU+iQuPYBeL+Q4wQRTFU+A6HbgdD57Jdzy3IurU+TjOpyUmKZ7fp17OzcPu6z6Qg9GT
ZZsbkmKpIt0BE8QS+SRXcRWxCiQKZUsggJZDScVWXOW9510VBk7UdYZnxLZlg8Q8YKp0ZC5GjJp5
heS1R73yfrGhLKwghVkLlLFEPbNNMV0vJqUFpJ5mSYyEiYuFpWoIVCl9KrNjfmXq1fStTu3a9o0E
RfZNLjB0xR5YMTpfDIP5nixoymSxi/mEtxRhm1Bjp3Zr32EzUl2SH3FMv+1tEQUNSIq3Eh+r9ESJ
lPsiV60lzE3Mi6McZQ+vAgIGlNq8jHtTviyuuqpfBZBFRX1OmALpqhub9mJSE1NHr1xGT30ZpWfo
b+ZXEDaGO6fQ5609qo94DasveZYWP/GgWEIvQfdnLIz8l0p1eWVsrLkqGL/eDRxzbfajZcr6UNMG
60JN5/Q1p4RGCA2kbMaBVNa81jS7v42yHsBJadJ5HOKlzWCgk99polKlu1uHAlxb5dVDMVaxumkR
Fjjh6j7hpZgZJb3FzL2SyjxqmFLGqvDhNkowpZY6KBzHOl6Xlp5NVFI6AYgbKizpUbOHCk1Gtj9t
LS5oQa4X/T1iUpyjWuJWL0AN8TjNULd9Mqcc1A9Cf4kV9ATBmg8ivryuEkVHTHV2h7VwMbaPmFAk
b6hHI0WWGen4MsUJkmUwlBZKh7aT47EYkcSbmqZXThcqE5hWRq14Qxs2fmp5+ThEVUqvTqIZ82MY
T0v9u+kE5MciatO7UvGMngRyp9w1pZU6m3Q2I8zROztX6egx/z6NI4GyByNc+LpSaRdFnwLKL4WS
vEWV3i+XPVAx3cf80b7T0kxQBNRMbLXtNDpRrNj9YY05nptt17nPSV92jd8uSXyv4nsyblSlSW9y
0rqgobBS/UmGXuAGPfCZDyZlpsedcboU4DgeE3Tj79vBGXrUBXC/y0ovmgJrNLsXhQwTgi3NsJyO
gG2IfsqIQnSRAxkn8ZZiFV8MrQqzPBvRWS5s9cZV6sjbpn2Wjb6+TPVwrjfmjMjjoHRv9aRM7+gK
yfys7DMMQoFBUsoG1bFEG69nf/spI0uneG/p5avgGci824MhLxVZKBEcIKXVgtgosl+uKMx522p1
bQdDojhPPR6XDjWI0hlIhldtsWlGLXvSbGWJMBAZCjzqjVELWpm6v9pyKW9d3NXwU7UaITZkloxq
Wwwxju+K1ig0ThrJX7y8fnQgHOJtPLkQOJVIj3/rzlw2m6yoq2+2EH133rsj8XtjzNFlKarZ3daU
dGRQ21EXbzqw4+62t7MYZmhnNC7i6BMsJNue3Sf0ociNiXwpuq0Fluo6NrLR28bWqJ9Gc6qbvqAC
d9vUjoFNLXJadxHE8BbxubK5bfpGfLN1/OjRYfI8cUqjCPUuKk6SZ11s6ECKGbY+HA1vSTaNblRx
aDZRjrs3MmdBO7HvhQ2L2wzqGMn2rTNNUUMZvbbm0BBNd2dLjaLqGFV2G86xxVFlpiqqr1qdK+f4
3tZzwLKWv5xIuE+VjlebJMC+yh19oi7piey1S0cTQ5fKxuicDufZ7QkNsJVGnz10pAqGsAUu1oaY
3mLIa2T18jANaAribI85mJ8uSBeBOy0wywXRl1i+7pVRsTUqt0hDWJnlM6M2trg2VdGbO6bsRjlk
a9weDDbbwOEpn6qmbC+GBMt50uVywQd8ctP4pO4y9V7I0p3xS0fuKqhTk8so9nZVaGMxey8RWm4x
3kg7iZfQKF7w5xU3DlKAqMYsOkRUVL4QcFXnSt6Y3eSpoWuIiUNXm+RbLsR0jiMDWZVh6bQ50OYF
id5FFv0d8QI3Es5c51tTzsZ3Mn3CCHBGWv2FJrf1fO4p5guFDu1eUcuZXaJLmK7YlTunk1YOMXdE
C6FllZyPvUV3Km8CpPfMhLyXof5AaL7V/M6cSkT6y8K+LRfsKXw5NJhdYVQNWtcozeVWyXicoIVt
gPWs0LvnAWTLneR/KFtONTWhBJRoTxxdVXZu4SHDudeOcpPECca1XpuRVsNjlIt8x4lcbyvRLjHp
bW3gB8k5fpPuOBSb2jaVaw+WQOFPhcusKUAVL0hv2+7vUeQVuuXA4BVQ10Mf+ZbSDb/4jijfAAzW
v+MeldzW+B0am3yqddZXLLXzYkb7MHBxMY7CyLWSB0p0ccSUZ0Q2JkFEG+qy7C4gDWK/ICh/YHe8
sGnCiVSzn3gip9fNrOvo0VUNyjS9ySiGdVr2d1ppVst5kWnjSZp3aHcss91Q4nMXwH4UyzCid1Md
Pm8souwbMjpzEiqa1VzmwzJ4fuRInFSKXmEDX2BZvFgV8BxOqM54qjJPkyfADqXll70ih22HZGfO
7t3F5saErLdAtqAl1HDSqveRCCzlaVXWDo5mLJouJJiyHu1EVobfxPR/MKexd4vJbDJuHNgZ5uUM
/ROdIoda5sZqFXeB90XM7Edy1H9SSyzxCUdI80eXCfHaz4PWnP8v9s5jO3IkS9OvMqf3iIEWWwiH
Swqnjg0OQyS0FgbD08/nkVnVmVXTNVO7XvQ2IxlB0gGze39Zgjg73PPVhB3MHZUrudBk0mVuxpJe
TDKfd4jDTNfXsVM+ZhlhrMetrxXnUJuzvZwHYup4lSQdTR1XQnHWpEng9Jwvlhq07iCRmMlFuwop
jSs0YflVOLUD/daORWzNc02rfO1WY5B3LU9r5VglA4fajM2uzt2MMVdM6WRdmFhdc2fYa2mft5zo
wHvDLMWG8aPSnW+gSDmXDXuzOz9tHvNR6+e4NZxziuA5e2VgLqo4UYk9OutAH96RcI+2vY5DNwpi
F1WhHXrhJiPMmaYl3y1qE+nMXWfXfaZ4zevPloEW8QrPYOhQauqm/z+8E/+0gFKIfPtg4H0BhLBO
/3X5pZBdsbtiSMOaP76YA2Qw0Rb19z9tXX/sNn/eZf7ZponWDzRERXPDcQ2F9dd/huSrZlSmvgw7
k8WeKQOOSHMmzk5GzgJDKqTK2e5aTHTSYERUBwE96uTD869v5H824f/Am/Cnz+SfNuE9EZ6fg/zz
JvzrK/7YhPUvkExgiYRIovkGdPnbJqzZX4D4+e9AjreQSRtQ7z83YYx8YGsm3i3+4GZd+tsmbH1x
4JMwrmCn4PnCtvhvbMI4I/4BxQO2U3l8sDDcon8dCNC/Pj9tW4xz43lsI67yNVljra+eMtw++7Gt
rL2h37yYU63u6HXjhkruqDdR904Nx144mbFD1WMFJfXUYVHWL4kubUaPzYxmp6jJ2BIMyU1r7NZi
EwSJpMalM/Rp31n2541HfXAKpzvadCvgKG0JAavsD7JgfixOXM/J5zDSj9IidzkxEWwPYPj90V0S
I9CHJjvpuaJEXT5quZ+6q3fUDSd9WJnaAoMCuhgY7TB1xC2RPPBgKd7XQjZctd12Jln5rGicLoo+
KTHp2F2UzJqyWxTFuKz2TRWh9APhxA3VCLfY411V0cWTqWN5Xe1UXYPZK9znNGv7SJ3GMuqRFLyu
i5vsDaswtdAY80X4A4nNemhzFj2TTkeQI3vOc+cagOvrQOmwqafLWzmunV+BFgg/R0KyJyuahBHX
SWlA6GeV5ifHU55n/o/br7ObRIRhwYhmlSTviPKHpPFrUySnXCGABJpUywJNnZDWpXZKX0Uu6jBl
W1/pq2jad6QjceO0SpS1svtKxEG6o4uaoJO8MJURPa9TPpnpYqIdaLd5jGa31o9SLVKPPpCR3tkt
yZUz6s7RT5aqljgm8zxKJj462jpLbtQBB1Ywa3hd8d2QZSxnR39b5DofikxCqJe93BMc992Qxs+2
2sji3eyogsb7rUJC45eZwk7KYdVfxLadtO5Ro2BAm+qQ4MciaPtqCTIatIFXZ8ZZJ5vlu9Sy8bSS
tfmpzOpJY8HbOkrZAVCNeOOur11pPsm0bQ7jYn3ve5xyivJBKfFBd5JvbZneU8YTN6u6p7rjOngO
P0A18amm0n6Y4XJ+jhndIUO7DceBVLLATjMTJYq6Uj6qhWhGO6x/y0kv3Cqetdp7MOspdIn2JvIr
ksney535nHZGHbua0oeNNXwzbGe/3aa79degV2RDuvlEhea7fFGbA1eLd2dvzcoEPOvyVeozf52h
ljTT6U11Jj1liNSyfxz7qgtc0bnPsh/rx1XOdtAsFpUkiwBWMsvlzhuc2oeLurWcOFnQ2Jkk1bl0
/JV8UQcHDqqTNCqA1qMK4uBl6FNEudaUn+cOqzve1+Rg0+Nx0JPKfV+U1riIpVUQKs3dEqhT94JV
58NBg8O0AxEQTAWxWvNiOyESWyXocb0VZvHeibol0qmnnaIw2K5NSpJqq31ZtqG/U5s0xQRLpAp9
HlXQTjrDumHlrKzLd1nNpMHKge8rKWQWzPJWxzqqixu0ZnLLKiGYNx9MWlNUKllaTcXf2toXY0rT
6zZ269kaFXVfzVZzZs2wPwCqCPnWHaTlxRPRoEelMyivh+wMDA+Xk8GeeBWVpYYOQVQHeoLQXlCo
kPFTl5P0kxLkcLoA4OWhASxxcmfRX2pG+9x7YmH1osK0R9j41LdNjK1boQMNCKRBi67uLII775Ne
PTOk2DGhy+sBi6JzzQ0NGyrH9LHj7OcZNNOI2cm59NNY+bnNOZvS7NCUkRBwlYu7R6Ny8bQ87t0m
Rs7JCWEvB7cxLsnE+zaK7wByRgBCu5OiIJqddPuEgvUlpBDrbHWPGdFgNNAMEfxGGSEvJ1HAZRxL
Bis0pPazd4Xi8+McFzkAZjWCAJys6lBdoWLGcnKtuzp/9OiFRkhVVscOy8dutQ1UTGt6836U4gEm
tdiTDN09W+qA53EN89LOg2xAEzbXr6QWbP4AiFRa1rFZqogm2A+pqRwVrnOaKoWSohYHiW6O3mGF
5PORh+fPGXhpQsSpOh16qz6udL5aTeFGusBepZZNghTUNWWoL87L2jT89W6uRDCbfAa3zrN2HjN+
/82FrCeaK4Bcb2W6dmDIH6NWiFiduzrmpVv3ubG9LWxL3A4WdIXs5zfLq1nE28W66YcFD7G3PBQD
Of3pDNjaTl1ULNOtKNUirEKsR6AIGoIpyJNex8K66XdSavvJSJUHTY7yIenRXFKHe19v7pObZCdC
8PjG1DJ0xvxBSboPYazUiOEsjmy9z99ZkCsO3JofktMncLDi6w7xBWia3aMxTsu9rYwTWT+0AG9t
VPLLvsPQb8RSGNvFK7T1dUn7aV9V28EVRRlbxJTyeKhziBliPhoAfhr4VjmfaTyy/QLGdPAzt9Pi
RHo6G97Y+h1XMPrCfYZy2i/q7n0ZsZspU/eE1co9sqVufqZxb6bDmhwESGrcznXCGT4IpH7NIxtB
hJdlopq1iet2rPb4/dTjJDfzedLukGOJkGXLDq0KC3YGXEE1D3jqWHxsRGOFUk0cx2ezuhoTcRyJ
5NkC9X7LxjILeQi1vdOr3sNcYs6EVsH1RhAWpH4hA/Zjb6c2XZ4F/Ah2bP9CS5RBJWFSSQu+evEZ
zepws+aLWvPRIC18MYo8NuwpYvFGrKf1xCFl915a/0CQGiLx597Iku8Vvwt/dqcPSm/5f4tVBKjl
k5295cl7ryzimlJQc0kK0kZtyqfjzcvW86R2k68udv8VywtNCfU2JJHDIJZHBcdNuJHaVG8AC0SG
Cd9reZpoO9pxrL+JftrJSYtlrpy2rjiv5Xtac2EW795U3dlWdU9pAzb6NrYoe/KHjLUNFeZo0Okq
n5rCekzLb16Nno201NRDwjkQOllevIR0AONQtvO7PnO5LmO4TO09+/i+vxXDle5t11/dCEko56Ix
XUWyqse+sfFkr4Ofk2tgF+mbSaIqckX72i/ZtM+Ex8o9GA/timZxaSNloaF0Qhsb5V1s0B3Z2tXR
zN9lb+1m1RtiFJ6f5Vrdq6NO5qb+hOzgvVOzo2XOd+Nk3g9t/zDxwGwiF/40eG04GtsYjew4EbVM
Ak2kdQBoVcFyJIlsS+LRsKald1WW7jeC+eg55jMiQz+o6uarSyOYn+XuVwXUNqLPSQbuxPVABZvr
97xrq1+qTg05QasI0G9yq0u0DkVv63tRNjERLB/A3WjfgQ6JzE8eekfJ96bdaOGsJOhmV/Nprvgo
S1XOkWPk/bUb+Lvsvku/58rwNcuWItL1iht7KK2TNbdN7M0IsJ0G8gg8m/CM7FJL5WfmOZfBEjxc
WPGNfvhBfeeFgCLfW7PQm7JdeVMjEDcXQXeMgXH7tpx+eGdg4+9Qg7Trw9xlYlLWTL5X2sTnWCz1
Ow9aTYl2B+sg7mbX/t7M6lPNGnOnqNVPprPu2CJUfTcG47FWpxulpWPsoPFMeTJr7dHFcrdL9SW5
10Zx7TPtimwrpvQrHlvYJ6c2drO1NrHkH9qratp+SkwQT7SerYe8+DlTWa7X7i6RU3PZKqaeoQIc
Nkf5VYVxurhLCRHXdd59XZUl70rdX3mnHty6+kHkbtSaONRIk1cPiyTmGV8zsfoL4WnhgJzhbCQj
tUS4niMY6FNLgcnmV4QMTPQiqr5VSvni5p3zjVoAN8haUZ4TpC8hXfKQLeT48km5U0j4K4d528+h
hqLFtxyj8pmnWMHLPA9a275X5SajpEwZMdLssLQs4m1b6ndsSjM5e+XHnCRXHFn5RzJkZ0CUy9Qt
XkR0cvlkZ1V/qsk12nEjgxKXfI9aiw68FbP5abSdvq8Jd75BWMqhdRWO3ltEnF+kC/+xEP0JOdaz
gnaUrkvNrE+6R49njpEs0pybYgwC5tiKbnhas228X5Lchp5x6mdFaiWxH30N61Hz62iQBx+4LfuT
OnjpLkeX4WtS8SIDP9qMPcD76nZ0XkypTo8yZ3q8CSLMlrpA4j26CyHINA2VXjsfsZxUfm/qn1on
vB+S9wMkLS2uTUWNR9GDUKzOpPqknX1kLoV4Ck04B6Irm2MN6gbP5MzDYaBs6mXV7C2czablIfWG
73qy9LtylKemSwHgmlLzXoaZe5jGA5s84Mk5GpuehQDNMnLdTfpOvUgwW699VeDi2gCHlHNPgnoa
6EJz9qUzmvvZFqQDIh5S9tQ2gnlP8k3IVQtTkGiMwQQQ3xdeJ/dpuX5kyFCasPfcguT1nt5ACsqS
+6EsdQIzHRlLTspoQip5KefRC7WN4lo5bsZXD3ZzN9uTOGoFw0BAOLjpI3BX0f2nuY8YPtAXW4TT
1iw7yt3640ig8JHE7fmkj9uLo5Xqm1h0LbAQJL5ujNt0cCJ7F9tM61dh1bEGbLx30mYO2iyvriQR
ExFMQqJ6Svp5DLWmIV4YfvhSYVUL17nQ7ntqU27P0fDbYkwi6L1SvwzGFOdac129t6rJFN2f6lfH
adtPDRI4Kh26F1Mj0fe6UjX+1vTfvWY0YyFTr4MpI8m1S7MudtTVOBd4vgJ71MyHPLc+CAawXloo
dxzBGMQm3rM3CuFYbCy7OSdpvcZJRr7yLXXrAlL8XAzW4g/CtA5AsjVPa/0BL8T4OawhPPB4tCuC
FynzcwM5qO5Jv72Ra+m9llpXPs6Guu4InNGAzPIHIx1/a9aJ0c6oKT9yrPXCdr4+wDl5EZXh74uF
EZ7e1uzcLdCqGFM2jqNUnByVexs1QLFEdWklud9uxYvayu2ukvQFDhmz/qh0IuYG2TKP3sVFN+9u
vQ/v7tz2e1pD7ChfEmvntVw5qnCc/c0vEzhOBmFpE5lgUQyhaPwsyYJHZSGk4YDC1340Uk/ue2ep
45ZuxCZs+s1612lcfETir18Z1KxvhjtMd6s65zNDoCHue850TqLM/KGQk2Yb9c3L1lFomiT1Y21/
z/o9EX1QUdr3VHhh3eOWvmbtFLj23piab5I7/Vhvcwa13dV7zxn7nUflAmOnQB7u9ZbyiASQ4i8Y
w1fD5KpV6AX/zhNJs4k7KPvaXdKzMuehSV3FtcDW884vvjithlP+NBMTwksZrNilYui5siQHa4ER
qVe3Z31qWBeooHnNas17b8TE3iL0/mNd8uYAhFt8HczZZZRKNI6dZaA6S3Hqdi9nLSxbpIbL3Fc/
WnIO8gBzGmXGqdC2MhhA+dVIyVoH2TBtL9lHbRS4Qe10OlF+keoRsduqFk947eFFV1O5rgy17HXL
kL6bZkqzWm1V80e6QsP7GfTRtbGb9qHkZ4yrlrEROkuWZ2mgmo+sptfuO0a/Q27UdFJKt69vXTCZ
dtHXzniz86K+Wyud1ipsjIrnV5WZwUEhOXma10ZsocE/mUVtb9+pJKC/Kp1mHmpN2a71OLKZak7V
HVBptx4kX588Z4L+d59YI+fB3AigT+ZsDStGYi4xty0CMd76gReI7ROJMXkM8Se7oO8RQLCI6t8s
+D/Y9kTZlSj+95xLXWT1BENJmHOWhZaVqfAINnfa6ah2MzJVEI2+JBtOtArpJ5b3LfW2hxr7EoQJ
u0Xd9ONJHxIgG1Yrn2vOc0JcMikt4i7cZN5Ltmqt2uiohdjAtHRYZg9bEMn8nPZNHZgAAceMELHA
oAbkQgjzerDm5bgWLEyFcmoy45kizcDsdYl0o99NrCNzSvnETK/l3mT2CvqmHQOsxWzu28q3PAyh
dLd4MC9dreI7r7ghE/2Rn+KgWxPla9RjSjMqZjcLZ7s/uFCMRXt7DN57QUaDo8W1R8hAYhPDTnOA
uEsZXa8SqUxo4f63EPn6OW4DQiVO5DtQ9J1XXDEib/QQIQ2xyksB+fhaVvZjJ7dQr2ExpPtsqnWU
9wlKiHUvqp8lvQfBYgrfzu2rtY3tM5vhEqOH+I3MwgYbM8vt4lqT6c8GfUUaooyTndn2kcJO+9b2
unPV9LtIs5+GJuXZzMu9JS0RUG6FvQ6mFA1u9Qp6UfodwCL1HURjeK6MrTVvYsv1To1KFXGdWSfX
sL7TjMRMt6C2QaroMcGrQXVbPU3uhMcyo7Qen/VPqTN8O21eX7mBYbYkBGoBEOjgrlGsDrxDB7HM
TH3HEHVf3w48qypuLSOFJEZOM6HYmfNUy/00OuqVCn0HuhfV3pBBrpY+rFvltzqBUZT0ziWLdmpd
rWYJCyCUWmCey8cf+urcb652wYEVzp330qDBDJTCzK4DK+COB/SzHahuuD2PraaN/HPyrkW7Mi0u
xKIqeSoazEkGwrxHRZdElXUp8wvuKhvauTJwkNnqk2m1kUtWhz5ap9VLvzruvs8RW/aLXzne86bc
sDH3pAnSS2d6WWsmWac7Qa4WIWKQl6Szrr2ClmQYckYO5Z7Q3Hhu1081Ky9pwU886SurgB2Zcv2K
UttnbtitlcPlXt8VyZkoqdUf8+SIgObKpHpXmoDEbWUTwp+4H31uiXCTtzM9vRKS1JN8hri1S/SD
lG0GM5qEuUBNo5tbWPVK3BRoo8pB86gkAkhph948cOu/FvCVCchjuKzjmTSi67qFaaUfNPZ+dkSC
qy3cCUvrBTkMh2+tKHty0+BpJPBlcY5ANXgyB4fjZ0CJqTTlHl7waGN3BThMLKYlzGoKhV/WQhxk
uxdOc7bVei+NB5BHxn6x7rqW2yQR1MOKBicmvxowsOlYkSQ82mPnT6NjB5Vo1v0gO192KE6XlZBm
wL8H4Va7ER1gCM0STIu3+GAQPkDZYUnNFLT9uhlqjI40TO1PAZcYJUPCZe79cNoqNopyoqz5Zzck
APbmNl3URlcfB7jR0Mk6jlaaDSF0cQoTG2+Grann+y5Bb4cut6MFTH5WMPWNmfF0t8rFrjnwqhVD
5bKEQxolGxDb3Byzvqfa2/wYhlfNTYPFg8LzdNRn3s7pzS5YqLbbqnDQet9Ak5+fvdwN22XIfWEm
od0dPaGFon/rtJ9urn0ynAt/1PohUkb3oWyM5JBa6wmXPi88ldindcFamagP9dRfCgvIlUP+W6Ou
92wgh1qIt3Edzqp88/Tx2vSYS0CYnEiMjATkkL4VeRFnrCl2x4fSZWNQJcMxnycu3FV5oboLVw+c
xhoM6nxSa8t36y3cKMnR1Sm06rMsm4OSu3tSL9ITIjRcwQckiUHJHZLKXbvEynA2wakYgsyjixs6
qV7AHfwyeekFheWcKM72pOkzSP+0y714ARftJgTZEssmIMuqOkFSuxcoFT+bT0X/xlHkM3P4YBB+
kg2QGFeaV15WUxBKJHEwGA+29eLOY6DpH5b8Vo4v0C0se6yD3Acj5267racBW7HT7Ub3fVSVYOq0
QAPvUG/DwtTcTQqY21ziyuFMY598W5VRC9y2Om3q7PgdcZDPIyWCSDTbMtJha1DHuc9L5pm7ZtWv
pjPLSz8O7CF6QkT09NNcHYQNbWTq8z2xc/XOg+M+mh1cA/NLqGSudmoT8dx1412PgXegp5mnuuEj
y7yapRETbua029lM0OwYCOGL2dlnKmuoTvicKt3HYjPtCN2V6PgZ2O+knZ50bf7aWEaeIuKZnYtR
T88qxra9O1nyDJxlVo9GNf3kCgL9QF8VmNl8xual+kV5O8kn6d4nxbTGVAJ1RF0DfHD8wmi8J2lK
XE+9jY9CfXEUCs7wblfC4F3ODPs+R+5/QKMNhDs/mSXosM1a0xMv4dzirbYkfZ8mU54dyiSYreHr
lveukz6cqLMbUdHq+sOGmmzQYxSGEiPG6u3IyhORtjrPGcpKKkRQTKr3XfcqhgWEu34uFUpXlinE
PuD6jaodRWHuRA3D1my/QFNdpsdc3PpsKzfZAYUTYu11HRDg1l1MdbUP5dRdctUCzO3CTM2uHUAu
MEu60N7uPdbk27LLWCtfyyimgLirBi1vSQ2mRFR40LIi+WoJzzGOTFrSK6pLmpwK3Zr3dJml7CFJ
v/fmdnjUUOkUeZofRiR9lLrn3v3NrYdyqQwyfguB5XTOxUOyXOftfZbtegPlKGmB31q+DJVPpcaU
0CeBJNJh9fkda3uULVasecL2lcYb9q2dMwDxEDp4z7ZUTr5hKx8Ws2HpKdme4WGKbh4HH/6gClaP
5obeZTgSE1bz6tWdp7uUoflZ3qzmM5YKn+3tuhbeZy3MmM7Zs7DdPN7M5k1Wyh1QwgvegL1irXut
cx83fLfhpM4gVt4Cum8dSQp/NBjr5hGutpoNP6O2iRKF6aXuUYjj1wmMbTIBf3Oc7GUvLto46ZFl
El1Lr8RvGSO0j5Jw2G9t+S2TCROixX21oDiOESp9Fu6ns/WPjpWXQA68Tqq85Kn54rIpKsDvMXGD
oBwYQHfs8oe+IhS5XnVixTozCwZMJglV9jl8xFYdR1I+Ym/MvleosrwMrEDjJkzVp83NDs0GDd9i
rg9UydOGl9x3V57upA3VtDwrKAc5YgQcArlc2dFeiiMQW7IT7SLjpU/s0KsImklNI24RLWb2wP8j
28C2Z3HI214JNuLnXtLaRUwr7LtFVZlu7M6j6KQ8L1mCzKzBtb7AtdJvcKPc+kdu2pyaXj0PvLm3
474RP7sZiGK28ZInpaHttjEtgqHUiCLE5H9XVsZ9XogJAzHP7DC5COSHrj6mvcF5060znRgDvpnR
cPa2Nn1Nsq1Doq7poRiSjBCBercq2hMv38OQA9WAY2Eoo6cz6jckTRv9t35Ce9u7Td4pb44UbGpD
fxKVWvywB7M9uH02HDdSHPx1mU0QPKnv0BEroVWqxG4S/bsb7Ewc+tUaD4pN0ILX1CUhS+Tr50ah
+XpRzIGyeVNorHRdYUFGnZcDvs45ctEhxcW25m9KzUw3FEWsLWgOdAMloT0oeUhnwHsKZfRAclwX
uoBRV3c1mwjYqAgIj1dC4SLwNzYTvqJd8BgVK5oqr3iS8/AsneSjmlVlZw6bd2Y0JMBsgvrOB7ws
3tiwnKj2pWUBzt1hOCmpMhyI6ipe2m0hoX7urMMwg2djKAdhluoDnjXvbuuq+9bWmzj3pvbH5Jg4
jPRBPet96n2TYlTe2rJZ33MKM2KznSW4Zwr6X/dfNaWxWXW2u87O7mWmX5VFv4GyfANuu7VPa28I
wE8Yi8Jg3kPrH+Lv+FF2Rph5SxM5+tAHwNAMP3npIVFgZKiZxTe/LczqYFY3Ybwu7Gt608HXTvdi
e8wzhY5uzjGTJRpXd9unjSefp3XI9y5Jfi+6Ml5qTc2/QqIQvUJGlq8N66W2+R22RhEved4dnBwH
GC7Vy9ygZEHytPhGV+8AoSJ4OCOqp6Y+ZJOkCMoQ+aHNil2bIGIG9bq0STXcCzF/JtZYRUgfONHG
TR8D5OUM8N04hl43HD0VBab6OYEeZIq2U8YsxE1xw6Z4ezJzW3VKvQzDh4J9GtVxjluSO/d6lxu/
O8D/LfXVv3QY/cWZ9F86lv4b+pAQ0f0r9dXxs/lfl0/58y/epV9f87v+SnG+ILy66VNvafI3zAKB
3O9WJMX7gmNSQ36luSTbM4Egs/pDgeVoXzRb5QuxkDmqQ23F3xVYjvrlVhMLEPfLovRvqK9+uf//
04YEzETtjn1LCKAPBDfjP7ZG5ya+gp5Gq7BG62GjRpDpoVg0czfaTrnPqsRhtVjydomwBs53fUq7
9EklaQVcOi3Saq8oec4JmaAY86feMnBhTKLefAXUiJAax8vfFgtBMUOEI75WWpY7u2xKVvJVChUw
HkFlhShUT1H9GhbNiyTkqD6UGBOvSiC2diIHE8i74j6/9TDOkGrxhr2rx5rYNZ/Fho0qoMVjfmL6
CydHKrDp+ai+AM6mNe+hV5+Eom5DaGSK3I1bDznFqid4/YYxOwrbKr6DqALz2yOd4/qaHrvVXNn4
7G5+xSym1WGW9n08otqC7lS1Km686dlrMC/sXH0L+7XP9mZilzsaz1roUuJldhuv46fO0iqhtV2i
dfpR/1y7YvrawPPtW+IffJy6f1R+/luv4X/5cv3lFfyXL+t/y9cQA+X//tvD/k8iyOPPYfz5Vw3k
zQ/8xzuof1F1m+ebRL1bsIGlooX94x3UvyCQpR+BlHp0eGQ+/P0VND3sgBpWwF8Gwl/v2t9FkB5v
p2EC7jt4pvXb2/m37+z/ww54+8b+5AYkJ5dIPd5BzPg6mSAEW/xVAondtszlQLbToPIN+uiIsbpV
SttFRJ2o4DZtU35w18173TXB8SDbOd77m59CFWL9MZYCJHpAxMUtUD4nYq4Hv5uL5m1QKaUt2sr7
MEvPeXDnRH8fNWH/Jnrl00Tu/rsa+H+ev//An/Svnr9zPmXzPxpSf33NHzJc+wtwJH5nCBQCTH5d
EH83pJK9h7Tulsyp2hQC/P0JtOwvRFwQh/M3qS0P5/i7IdUykPUil8Vtr6LB5Y76dx7AfwiFUJHl
miavhnYLu8CJ+A8abjOxKsQi9G05TtJ5YQfi2fpqA1OquCkOyha28u1WN/o8rOvXSh2TgDosB+An
3yotQgAJzFxynp2WEfVJtI3MUb5BT6LCjpNOFA/n/eI9NCkU42ldNUViN7PX1z/9yv8vWnTimv7y
JmGlxUtLV9ItZxnhO0Exf32T3JGC7A1vT2hTb0hDadpnc+xuTELHXgxcT05Z5T9yffBOTq32P/OO
RKIg7Undxi6QI3rFlGncXIRbT26g3qUvUz3kD3ZCt1LAG1idVl0zinBa0+mqplSe+Ni/7RxpmHTL
2z5Lh6jiulW6Vxx77fcjBrzeF6qqcM+JlGYz2bfVezIL9SjqG0zmjgL5ioGvV38gzKR+hblaHWRx
akWd0HYTAqftVH3v3KxeIpE6axVmMKXswGprs+HkE/mdxYo6mYXYLqyoEQgR4AuWMgvIWAOZW2y4
eUh8RS4M8mn3kMGq4hHtSibX0VlcYCMiuogB5UM+w4K7jzahHCmUt8GeWmg55MKCUgF2tLa1cW97
qSJ2syuGMxCudI+WRSxOrI36prNRV90PN3f6Y7951qkYXJrh6PobDpW1DB8FA66J4pewBAaIvh98
N9MaJ/AMb9v3w5x+WBt9aIh1jHlXUWq8hLXrLnfEOWMFApMUWCaVTbHRiDkYP7v6NlCQpDqDdCVa
cV/ni+H6C7rAH8k0DBNsgTB+68vBG/khKvEMc74oQWVk+k8i37GD0Q2IXk4qxR2QWaHft2ujn3th
C9S7VcsbIPiO4QuRrHQODjLfUsX2XIJZiasDV0es+Uh76W7trfFerVlyfGxbDmi2gewDZUxunTFg
a1gOk9ZtQxcXYbrTBtN6bYAIvpMLIQmdVbIsDwp2LC2gwFklj2xoFr47GGz4/lKjKhPljUwj0uPX
+63JMIIrjVr0IJgLyjRFIcMmxsm9DKd+KLbfRLfyNHuJi55TRW0w7ngS1YqugJloEHMR2SfrfOZE
3J3eB6Zpmz8zN7wuzVKSEZ+ilICZLizzSZ+WmEvWJlS/lLoeOivriW8klU3dr5rJdof1khWfgbA6
8PyxsAjUQ7FCrkMZVLkC21fRp/rmmuYgoqF25wev18YW+/Q0vSWF5l41A5D+2dDH4r2oWsdmxVzF
V7NfKurVFAXlEw0ksx5YDSriAyWJ8KiQwd1vSj9r32clmwD0skbuMVS6bpxubvVbY8npUjtl+2zr
y/9h78yW5EaSLPtFoABmWF99d499J/kCiSCZ2FczrF8/B2RWJyPIZkz204hMZ7WUlFQX6XA4zKCm
eu+560x1Yc9yCATOFBbxmRm2A6bWyD05hZ3O+8iv0HX6/ieNV0EdZhoy9xOu4PtFGc5UvKr1l7w2
6+AY4MSbWd/o0k4CT7e5USYKgK3nldbL1FFH7w3V+B+DruuRncVjkMA5rAvUc0EPKkVFo7ec7Hoa
kyED4LXlhLTbkGh5cpv1lpyOU1tLa9WoZmSTAvT0F0gGKz323O8Ndqoq2XWGp60tGSm+vzHbFnET
TtuK7CGsEkuTv1Heag6YPW5bO1cvoM3Uk1NGZE/K3AxPUV822Z5Yc6NhXmfratNjNSQ8mXfVPZEv
LGaM7h1jghmTNdq/GMSSGDx60KGoSpJ+4bUFwo5uKmlhRIAoQquPHq9V4pYa0mrb2y2IrNTgoUFD
2OqnjK01WGcisTmhhgyV10jjmCZpLAt0Pz3oBSrBTQE8gxFV7IbZUzLBSd65Y97L1cic26G4yaPb
ONBpv7a6BNWMpfyFnw0vANuEo8N0ZTfoB1djEnIIr6TsGHMR+c6szLUSkjJDy452MZSlcmVaFrh4
N6vTeQNL0/Z2OrOKZBc4Orqk7YFQFVN/yB3yBs8/L9BXobQiOPFZiDa+96Wyi3WZZ+5X0QX2uCXb
su/J4EuH4qubxDTCWOMug8JQM8u2mKCvQIgG84nTU05XNXULePCinM6iQaD5xB48Pmf0bS6SUdfd
mo3Z/gJjghklTzVdMcaS6LASV5krVO/iLkhcfTY0+fQQw03IechVeQMxxL/y4kzcYC9Xf7V+JV5I
dR/bXZaRtbFi9SKMD5XCoq6Q1wSsMMnyh2TpttucjRv38xBHV2nh8aqoBqekec7TtcqaMLLO/Vqr
5wlujLctuwA9ri+nRNJvrJHjJdrTD4ntpcFqVLPDw957znQIOWvi4RuSjnDZqdefm9hMO9p8Kcgr
MEFEi0Pxyb5AaMY2XCIxwu1fqTDFzZBDrgsn/td5wUD0pLsJcKvN+rhGSjIim4sMN1s1w0TfBl8N
jVgqGmy1EY/YBjey0ut8wVMgNrCd7Fy0VXA9tFrfj6AHkdXoIbym34gxNpMxDHILo6+//V6g/G95
THn8xy7JefLtS6y/lUp/S153SpY/96NEDj5QGWNxoBdBa+OHH+1HiRx8IAQKiLltC45KOMYo+/7j
VPM+CI/CGlc6OUgcx/8pkW3vA8U08jywhEtdbXv/pkb+zun6p1fiLXRDimNOirRwXLSZyyHuJ5YQ
XgkaOG3j0p0oWkYQFLK09a8QNFIdhJqMeyeXl7FDa1nbaO14lXkbWU4ZcLrOvffQJ2+a0u4u5gpV
WgZjX+joBZf1R7+AjiF4/awL17kK0HxsFi805IPzfo5XRpK1T5k7BGBbfaAKNaW1n9ZMPnK2mG2N
xAUwShKSghAV1V+xk9cbu0IsTQhjuE6Mbn4wiqpMVpnwjnWKcNv1HBc+hF/uKFTtK3oTy9S3UHjj
42vDIPrVN+FsZNZAx3IRneuyBIiKzWXP4NC7tZvu79ikf7Uy7quC/3uLJnrVtfi/623sv1ULJEi9
/av+X2xr8FT+oa1x3o3fihdUWtEre+fyh34sGvcDpxybBxONgM9CkCynH4tm8Wna5ArwD8bDZQH8
16JxzA8w9wJOo/zSODkXXuff50qaHiR/8ndBNCeTAObRv1k08hd3p8VKYa0sZ148qNbCdPp51Uy1
E0eyi2zkKIQ1yW5k4FNEaJSrvP3SoKBGMjMUB9iv1s0ULFxPxF3b1EzpulkFccPZTD0AIHaVtL7Y
u1bgPwYif3HUrPezNQwbWUdyFUT6OSnc59oLHxHRfJpJzI0bknQw8/8lhXtvkty+QtNMhmnMDF60
sl7rEjKKE5y8KbolX++rvSQAKLtujuPcMBGPY2+DssYFBZKj6iKVCZd8+NKMwfBJW+2EWjRO7sYB
olId8WKao2V0bYWSGmNCQxJxTugLjPMlWmu+J3KQCcLFjtBuOEdVYV+ZoRkcQhc7aNBCPI6Ajm6U
LvcM2h78MvwcFb0+ZSK7iUPUzivKNB9Vf9/sU2fKTrDY0f8kCEyKzvpMi+FGxOm4p6T74sVjfsJ9
ka4KVW1HKzzz4xGFYST9XbmQl5JB7hMQEeuyRaCWAqtbDcqdSbmWGn1l3qyauleceCNEu4Vj8pX8
50G7AstRojeAKvVpHIvoTGn/cw3fB+l0K14q5F8F8GvPOdhsk2cxGOpVbsJPigbvoTQhopZGMSH0
1cYS85SuUymytWWAqpswAxW+cT7gqN3lHHsvh4rZiPZTzubTNGxwHt7G9ugwCAkUTQq3ALktLnJH
wTavYFS0SezibqCP69Tto5wEogvOpvzbMq0KGgw0E76laJpQ8zmPblfdm30IRQVt0CaP+0dqF73L
rOnCGdBGcHjqLkWYwMNBM0BbmY03j0lWS4zpkCAWIBkM01Ns9U96wIBsi+YOZUu4mlR/oW0oOFVZ
VluzLXh662lXQ4lylitI/fw5XCzHoXXuNNpepZSbi+jxcu7DfKNC8WKSq7ztmpS7V1e72jY/dS5q
xUxAziHvfcNOcIZHdF5Fywi8DKwXgCbUleV8ZUTlw+y7u2xpDojR0CvlPCGkCnc6JPR+cvwGSRmj
JJAr7boVpdgWksHfUJsHX8beqg3tr9HgUPOVw5OrbJsOomkcY7W4Qf1UweroPtFMua/jMbxzjKY/
JFFKZFQc731ImJvJFieh/AMveU6LYe0eq8ZDGcW3tHZJRTsogGO7whipjmaJsMtP2k/UofZqAPVI
OeiFh7QjGaXV/cnsu/HQa3k0U98/BJPck2nEhI3n68nU7Yt28alZZQV0ZPkRolgOuFGaCSOr/xnG
yhe/bx56+jIrrNNILHITOQfXtAIhEuytDgVp7HGdeZ9f1thW1rPNja6Ud5Z1FhRqgWF7jGFmqZJm
f4mbfpM6FYEEY4xgy0qoYUNORj6/azwKc2O52VPrt/kusVF4e2q4w5P9KUkG/Hg1obSil3tDtjnw
jTpb9RanZfZGsbcVR8AKrPE6KJqYDhYMu51v6EunnbcTjtG1ntEB+mUtD4QMJrum5lUeMTrirmX2
7eQp594DDLnJoiHHuJbjbpjZ/TeWNZ0VUh8VnBGWmsuIIgefLzL8b12f3FBwnYlyYFcxoNyUz/Yw
j7dNlB9DWQtUz167CbF+rYLZJPZZ6Msgml7acMj2hp5df+2E4VemtSgXQcE0ifcQBIyvaarx+EWh
XiVUIF3pvfRhcZ6jHqekj1ymr40ko6t5yocg29DTOZRwnBBOmC/IOiR5HeQ1qjwNdyHnsrzVI46a
bjpLPcPZDEMP6Y0k3ZXFIf4QJt63rO3gcuUZekLZX4xi/FrRICDoJ19JUlaOMkq8rRcysv/3Nf3/
j5WLsKjC//uBzN33uSgJetXPlcv3P/SjcrHEB8ci8JipBw8YU8h/wBTiA/W8QyPKpItL1++fysWW
HxZEMmWJkAK719Lg/U/lsnTE+at8ELR/gx3/RUvcXjrFP5X7XOiCe2aRUb8AvHiLNNepUwrafyAY
vWlBh43JHhXyuHJKhbxxUsFegEGg29hfGT0CpSY52qmud6bI7vNUbOlS3jkJo3gHHfx5WzmPsqBZ
LAssd4bPTD8OGtBVvcSjmONNye1l52/6ahdnqb/2jPBbLmg/sl2k4L+setEN/kXC3irpg+KA8PAJ
RkONmtQfV25n3fWuScs5qleNgXe9Z7ToO+pTHXXHsvncVRE2RPRqG8MO7wnU+8Ga+d/y/T1Iqfgj
pPSuf85fntuvr5bA8kd+LAEpWQKWzZgCE8T3Mc5/infL/MB0kbm/MB1QpRx//6t4980PMBph+ZNt
5RJe4/7DZvHsD1ISwu5yGvZNJvv/qnjn7/lpBdAB5dHnyUedgzV7ucLXpTsxz92cKZPxDi+xKwuO
FMkUBtOPVTUWgX9uNUCPd52KjGlVwUXW50ZfWN7TT7vGb2Y6Ft/0l8uAt+rhjebI4i8H/J9PEKXr
EDcyFVwG5R2S/HEkG6Lygzlc9bTNPyfzzEgfjEv+EX0YVUbXBsm0Td2MhhOI5fAKGYRHsmjErUML
GuHOylpAaubU9Cl/0C6j63eu+fUYCuaU4MyDrIJBH64VdB+vrxmXM4dlt5II8XG6mXQB9kno6csK
Ht5ZD5tyq9FT3nIkSrdGl7rHwkQjkDa2dRb1iDDbNOQAgvvab3+8rTgk/x49a70e9f24NK6NYTgb
LJvccumv2hjcOsuw5NYZrOLMI5Z4FUxRuh1j2e+UnpHcJvJYKqE2s2FZh2R2WkKlcS+9cyWvN9i/
L8R15NLP8R34VK8vhJF1M1nNd1BZYGQruwjLb1Nr5NecAAfcED4v7nCekX/MU7j+8w/09plafh+H
Jgdj9+Xo7L/p5bTwwS2wOvw+FNUmKr2REyrBzeYu6/1FAl878AKx1nabP3/w724/caCWYxHNRMfq
7XlYdW1oDn4tt/BGkKAYY4AcxRf+QRE2l+LbKVpKYoztLTbbW5IZKYe7sbjxshAP0jsXs6zgf95x
y0/geAIAsc/012SRv3lMXfrxzixMsRW1oU2stUYKH9GSoF4qs/LEhsltlZ7aVEwYSOi/P9fWbEm0
9U30/M61/PqTuDYfxZohP4Qt7M0yH7Cnz2Gmgi3M/glLWo+7j2ZgeIFmPQL1x0vyU2K7SEWHOr9M
7HB66I2kue8dE+12aTa8Kaf6U2uPxvmYJg6eBeTAKDbDpz9f6a/P7fd9ESkzkb5ot95sizrBlJDQ
DNwaU0yTmbeys27csT7XbXQhIO9e2li776apjg5//uRfHx7KG5MeC/fJdpl0v3lsqwZ0CkjiZOfP
prmzRA2LpuoCA6KdUZufkkKJJ7xL818ZRIfDWPkxWKIx2WW+p9+By73RrPDscAUQKJZnCMI68pXX
yxf4UWpi80VdnSSc6jNGVCzVim3tXMt8vi2hNk8nwQ59NU82fcugbxSt0WT0A8701nyj8kYmZyVe
o/4JR+OmKiPH2CmoqgzxaIn1O2lO1rmBqmzaEoY06j15XkwrbA9UE9LSkdnNO3f4lxWBFod3DKsT
Yh4j8TebUpqTrpVYWb+zHa0PfTd0B9zJOarLIdn04OR3MpMT01GRfhn7HmO2Nfbv7dHLh7xallyE
56D68OiXLf/h9a1lS44Stxq7nXBrBttKIxhY9WaKdUzTRClye//nr/2bH5OXKxFEtNJtGjlvGWyc
/sfamoJuN9rT8MkkhmyXaQYuwsw5TzYoltd0r8bzZq7q8wDE8mlyZgAYQns3tJO+KjHmj/2MKm+a
RPpYV2609XrnLLYm9EdxoYqDg9CvZzRXgFZIDMicrjS8L3/+HtbbkkUuRQLAAqoqNhKxyLx+frlJ
A9evn4X9TitOGJsW5/3WBbXz0TYibI9Wjww3gHeaGFF9qDlmblRReXeYh24mu60RxEfMl0Lh3tq8
9rYOVrWFNo1fJJMAR9hB33kfiF+2PZA/lFgEIqBQcx3xdhkFGk2Gboed37RLpzJHCgJh4cqZ8omu
X4ybnQVz7BxR0KMcsLRXwflCutxgLOUkP6eTce6HM51139VXopLdRhuyIEw3nKenuRrxuMHxukpH
/eBhfDj2bXhhyDTlKO/xioWN0l+OWJHfqYF+fYiXZYSwFYw+Upy3+4PQfuOnpdXvws6czlVmdNte
9tUVldxEY8FO33mGf/28YDkv8iIjiZOoqzfvDweVs5OGuFjEOJYfAfJ8pehI1KZhvG9GiX4vC+Q3
n0eeMkdE3gMcRr8T/n+qo9q6L7STdZhklYMXI3ayb8Y8emcOyTOrJfD2nQ13OV2/2RU4jhLOikSL
HAJ0pq+fbS9LSz8ysaDVHCbXHaxBk0ZKcTckWWOup967NGLeO00HtBurNxj2ritJtQgq07ruPB3d
S22ba61H95330q+rjivjqMyEjlKOhfX6ygZdB6R2huMuyGW2AJqsxyiM6fHnbnc5amy5BUP3b1r3
BA2KUm3/vOp/9/FLgDSnHniVzC5ef3zVFHYskC7vyOcaH0zsNJ9JBUZ3QkgQ+gotN/RAv6K+qU9x
anjvfPk30drLi5BngBgJgrI4clG9vP54BvKlZAo54PCiZln5XeDctwwR1nkzzd2GBvg9NgTvWkfe
McFMd2xNr7+StGGzdepLlM1dHRJlnubQLUB9PvzLu+NwgsR/IW2LQpd/Xl8eIAoQjCatNpdS4NDa
i7iJqKPzXDTNx8GRX/wBeE3MqtqVuTLv/vzpv5YsyBP5F+9UBERE2L6plhIFi1kGSu7SpBXGrVF1
1cNgymC4TBWrir5e5VrraHRBValMYVBJoqo9WBZiADTiSv/r0p8LQoYfILNwJd/qzQVF4dyZRVba
7BODna56bRS4eSp9MYJb+uQBqe+M0j7++Tb88ojyoayRZURNPpL/fbb802YBFT0EGY+uPovwqK7S
oLf+0o4z76fC9fbIsIovhASBZPNRIE2VIer3CpvlKXxVU5CpKyUA2CWKhtnem8dgjAdXxL3rMgOQ
E1MjPWM+zxLs/8dJmM2pZXJTHGEzI3vM+J+cx0ZfDdeSUBEiENOmXB7esKjeWbtL7+OX63Kp4zkT
LT+L8+bnSNxJaLyy3o6McuQ6c970zjrw6J6ttcn0G1qOg7mJ5OuZiVrlFoyteqWcdZ9o9ziWJhx+
hhn+dAisag52JfAkxJS9YRIkO8fOHY33FIoNPehwrwaBvQZ0zPheGt2vuwDAeiA8nGRpTqI1eHN/
26rIrdrS9EMylYaHpVuSM6VvaDnEPaocKLSYYgkcUDoFK+CPm6oqPaAEGWKU7UToh94PSaSurJI/
ua6BKdQgEKcmfedJ+PVRpLVJXvUSD0b/9e3536tcnScFN9yg+QPscnKOujOfGpEHFwLp3sFvrOnF
qav95Ipk9+d18MtLkwKHAg2FMXIlztbLxf20DmzQACEoHA+jIhFZWRn1126MhykDp7Qy27C5/PPn
fS+fXj/2iPqJ66KdLGBNem8eLxoMyrVi5sCxV3YvtSHHfc6ZdwN2wTwPpWFX29B2hgPvVMaA5NBu
szGrjiJnI/IMXVwSE59tHAazZ7Jw6n0xJY2xhRcFgQJ14cfYqxlaTYr6imiP987ny3nuzdXzql8U
L9QZpFi9ebHGiKMM+DnmruQJv5RtENxbpVRnVWRFj2iemlU+GnEBXWLS5yR9hmuLaeCmHmu4hJ5M
+13jZlH5Ts36XQ3++rIWtxL/eLTniQZffuWffsWWlklVz5KU1jbK1Qb3J0kDDXrDh8S1w+pptGOz
Og6TVccwhnu32hLt4Z7rmRws7YSgk+DfgpZSHUa3YGJGhKEZjzcStgAxpGwhvZ/XRAv9Ty48oNi2
eE8zInDfXDhPgijdHimh5Y9oc5ugGMpt1rkI0z03/FTqBulaaOUl7UPZ+Ra6Z2v43KkSrzmvatkB
Z+wBHCeqtDAAe5F36MKxotY2l4pbEXhzE3u2Yb534b/u3rythMsdX1LthcdA5Oc7PoAPYO5szbuk
MW1CnKWln53Mv7JyGd2U1qh3RQQ9225JiYlErO6x9QOAMMfyMtUs7D+vKus3l7McTUHBShtDyvdD
zU8PgJY9pw5q/p3rDdMO91e/6sSYnCrXURehcgn4UbF38qshOFWGHi9zQvIu+A9HD7f6O9mzv9l6
CXFjdQSByR1y3r7Rp7xKRaFGKpyk2udA9bO1WdTDLR60cGlDiDMZZe1OE/d2Hrlt9zACc8RJrXqw
s5Naq7SdrytbIodXff5O2f6bHYgTEMIXnBq85TiTvv7pRFlGXms2ILvC3rAvKtrXcExCQFfG2MYw
FqDkeE/GZOi9I4wBzrkxyfFzQuBJgtSxMBgIjUDOL2jX00sOHbd2NyQugINBnhsXp1mUkuwwr9H1
pnEQEu/yOaHMTDi1vHerf/PD41VZqkmaI2wAb76MXw9EHCFN3pVlkK6SWLQcQxlTj2kEVqZFlHMh
BXXE0Ef3BvfkGlcDoJcgVPss58X+5+dwMWK+2R95kWFeoZdNJhsqp9f31uXXiztOBrvYLeZjapbl
Zan5NTY4wGDAaGmh6cf0XaJQRqo8aTpKyoTSOJYk3vfmQesBiCqpxhCqQZqRkhbLFuxsi/hhTooB
QYXsjHvP6cVKFXH6GfcguSSpfkmqMf2UF577+Ofv9D0W8PXmyhFW8G2WGHCiYJef4Ke1RabtZGSt
G+wEC+wqtjJ54ZKetQsQGD/3Hkq9KGvqrTCTicFGGHxLouGFH6LezGqKb7UJmfJ/cEkcsEjaZBpE
3/rNyTPFkSQy5i07lFzteQvW5jzheV3RVoZdg4Jh7+Z59zHgrXTJvjBtRoq4FflK7nbmq1zNOIne
uaZf2iZ0rIkLoPNo0sfnB3p9l3olm9FcfJbV5LhPU1okGwZF1QU1fb+Njcp4sJX3t7nyv52d/OZ5
o+XLs8ZcbInIct78NgDgCaDxOTvETWTvaXyKgy5zb58qCIEAp4ozYmCrjwme/DNIwrjsZPYcAztM
Vy4xyfvM1+2FkQdZuRKyPHOEci+BycJkmS0oV6QggCgueosIEiM/zmUd3ldQiO950ZwrY269d+6i
9b1p8PPThjqPwpX3CpM15uxvu+4ZOvTllWgiuW9a4OPjDNdSMza4R9U/jRujr4nO00wkog2bMOwr
hPRwsAutMJWDycanmOGOWM2FHOrHkgShaCMgzMzbUfUmoGlTGsPKNPux/YyNd9z2jCP2czlBg+1T
jAObrHTvnQz6awgCjNFLmT1Wo1mh2477dYPWpwTjZ8HS7IKc6j2VTQnOkWWSrTT1cUftZg/XaHUQ
Q02xB03bRST22Sl99HZzllh0NbMwP0mlomHbg3kklqrIirUPWWneEFNrBJuydUBPNa6do3qxzeHS
Q/LXricyWm64deja07TNvrUdeIadkY3oX/MeWsxZT5UTHkRPuNOmEFopvqDRZUcqhOyGRk77VyIE
0t2JL7cphgmyAOOBwV83EOa2SaWaSxvaLmS5WlVyXQHlId1hCGAFNJ7TWGvQDDlnBTkZZ12om49h
aJNTBoHJ5bRkDOjmK0SE5boD0nuZFhNxTyFBZ+1BOU1/VJCr2530wZyAp/FsvAmtvArUZJgnq2LG
ts3mPHZxOPsNmkRyJML9oEEH7WWm8ltuHtthmy03Co6suWY1Lsl+let9LZqySN87nbxJk2GcsoxL
EbNSVaAA4YTyemHXjUuyBlv6tsClcUphS+6MhWkrEFhArMCMhR08r3ekZ4wnu5LZkfOj9c5x/Zde
Gx8glmbbMvjm2Lxo1H/ehE3QFwowHzGSaa2PeRZGJ0Cm5BP4yWXUDSViIvfOV0ZCNzVqz4qxdQ4T
ORl7hiLBNtKQnny8Bt/+vBG/PT39uCpqHN9d7HoLLeDnq6obdn/SyLHyTMXwLc9G8po6r73uuygH
yZ5Xuz9/3i+1CzscJzVesKjETD71zfmjzvq4dNve2/rBGCyk0YxM6Tj/5Pe9WCdOw9qI7PJyxst2
VHORYKWJ++WYZSVoUjLLYWyRxvOjC73/FtVOeucUNcD62nOBmnfsEU0243TsB4Y6prLM9/Y3tDrc
k1cbHIWhhbGVqplXBe/M1/csQC5ai45A0NrqCPqobK/1F0QOSALMSB2OlimOTyGeErU3cznfNTx/
2ES72Qx2g2MNF2OEQXOfDSNZLFbPoRbWdFJ9SlQ6oD7zgMvEZSbXVqnMZ8ij1N19mWTIcEA0VmDH
a/3YlvaZES48gtAbnPjUKAW+McmqeLyJC7/C1yM6F5xR7ZUfY3cG6NhoVZOpQNAc2OHaJMKAfFKt
thUhmvm27/pqPoJxL/V1QChZu04L3zkt5+tgI8zWwgPaRlV/xGZQvNR1mtQ7Uq2ymagUL37xuqbM
D6NKJaTloKVwRI7ZEb+SWLN9SucQAZHlt9P5nNEaQ0/I70XTrv3KBpHre5ow7Uvcli6/ZBfFHKeA
ohanci7LiVk6Yz38jdK5zH2JzJIAZkQZaT8PzzAMC7GzxxR1d0Xfb9h37jJgQulSRkdpe9G4dhnb
2tscXr5aZ02Qd/gtTLLjuP9OverzxB8AMUFCPHl5YE8X5B7A+oNMWu8HcwgvhGBrn8x6Xu61uA0r
rE0IciXxomhr7S9sQP614wQd+u80QUg7krDJvBGkY2EW8kBfrLmz4c0ah7CaOUvI1MmclUOj9mow
gK+vJR66GOOVaaebODPFJ5IdgmuVRl66jq0qI7ogmwFlhWi970tjwOw4505+bVSabEEj61EnApBt
14nkO1aDW6oD3D0nXYWVZ4CM7wx33BIYUood/19C5ogAB9vXpfZMmDhq4kvqfC8mdCLq957VRuUd
oaRNsZ1HojTvhWd16howctnvG5IEiYAhOORrlnJ2hbXHO3M7zWrhqhEL8WBEOuh3QVOWBkJv0Srg
R3qxW/Y2XTKdJO0ZBsup2uYTEFLO81mMQKJSQWISCRIMzbXsk9xay2QqH4KU7tL56HMTYPhlJlGK
+LuIUkox4RKQ4ut9naZDf05kKbRlJ8u6lq4e4Uo7tKc+/Bs4QbdYPLH8yjKZAPL1WXmtLDIvUU13
Rg6i1BIlqd08umLovOiixDWUQisck1simRPE1J0fjucCBn99Z8y1i7aOtTkcydvFTCnmYTL2Y+lA
Brf9zmM8NmZFej7DPdJbFjj+TC3rMQczkuXx3nLBIeL+rYtvmQNAHOKCGdunokZvt6Y76oM+Iz4V
oChOG4KhksbqVoJOp43Mr846QGW2NV/x6BH8DmKMLAg7zttdhETZ27l+i5BKWX59IJW0YVPn1MIh
bwg+DySOoOy3wnEDNaU954dUzNmzbjx2mWE44IIJe2lLxsjXbCj9hIXNGsFLEvMw7gamoPf5ILBc
k8GnYMd3GDN7i/fmBXBmEKU2GK5yZ9ltCP9wIix0PUU2gkN8RHUO+i8nVyuxp4A0jc62TmUxOXca
CMpXHE4V21vVFwGWbdyPOzHkRXwoQpspGwZBcJ0ELrefbFHnzrruc5hVvSJfBG9qDgyR16nRUlQG
1nA0Rdp15Mm0yWM2dP63AT3zo521ZbN2DAfclolb1TlrcoKOV10x+A6Qr7KkZO56BdovkQEmZK9I
X8LKhPE2y0o9khAZtXvEG6T5ZaMxz5s+MmwfHLJXxJjGQRpck2xBRlNnl7W+8WK+6A6xCxXjCKtb
bVNvHM+AjudfUuIri60OKidF6uDM9o2pa32CbUnFh1Uaep/NL+NekA8SfzaKDBWP6BL2icqJqVYY
rLekcDhufmhV5OHRIgaIBeQWMK6jXpt6DbhP35hNpx9m8Ioar2SmUyh5qaq3mn6BeAiksv/i7jrl
WcEBS2wVRdKjMdmkGaN1ms+xN6pvUraKdvPc+/lWelqbR+yWOUVwErfgrZzACDcYKwexH0eW/n6k
Isbbn4/RQwcgDRQmUzt5JKBzPBppmnfHrGuqO3DvpgVlT+PbGBPyNHkoHWg3ubH4w4ArF9mm8TRF
mm+Sl7ZqJt4zDr00TfoMDLgVPSTwl0XrkwkhncohAQcw9yHRpoixpHS+ubGh4kybWEX2SbaiIBCJ
6nRNzg24RF3Otd5PYqEBu7Up7jOvUsldaOAIOnaox9tTFXcExpXUplRsuruvCds9Y/wc3UwZa3Q7
ual1ncWF+7HXXjXuM8Bz3cVUqfHOkyomWbcQcr7CTzG4a8DSAvObstliAUe4oDQbPWJeb5LB2+is
jan90qpdmLomygzSwcJTDEVw4B2diKe46whLlmRGyjOeA6zXlZPr26H3wnnteh4K9I4/17Lpj5YH
+1HCFWR2MFa70aqDb3Hqc1980dCiFL5ZL0xGwjzXaWzxtzi6IkimB5k69/3Qbfxl91q1c8RbUFMR
4DCeWhmvBiAEpyro6H0TaAdDNhuaKdqlmR9WO81/JYE32qjogza1TrhAmgpuRJw/TrXM0zPgBdl0
bH0vn/BqF6S4DUymT4nOqXUwDZaA4N0Z9YfRQakIuhI3t8dtBZlpWMiXC0nwLYA4fTZ5FUe1PvW6
eAP+jwzPFoLEWeUaWIOgYo/jeV37zGbnvO12dUJYGukhNJhPYTbyIiyZhFAVJDS8pJrdW2RHul+T
KmMG90UeD+ZlwdgsPuuizn1BuwbsPyD1Ol7FxFWTp91EREeVotHPMXFk8crpJJ/GKX/+5BlgSrZ9
HxD0DUtOOYDqF5+wlHM+rXqC6m/TySX7J5+N8Ws3euazZ+U3EauF6wI5gAXMmGkwdTLv92RcZt3K
rEx5E06zAOBHlxtJHxMo68IAFEcIfJQZF6I06Jd7wUhQRj8GAIWJvC763WhXuPATP/c2gP2IdQ4n
0pQ0cdfGIS1z7o1pFdFDQvd1RX8z6w6DreLoQkVEkPOkFHjerLqCMpBqVC1HejLjsSJpSN/OY1mT
pjA39jevjEdrR81nmDeQUjzojFHohrtCxvrGDhhEbXsyZWZEOoLqCMgo5bDCgh1wUp+jCludDk68
VwmDRqZalJsRJWx/KM3S63fsGq4icKIHW+sFpKauvZ6W3CHElh2tQxADNw28PuhEQ0Y8nDM03bph
I8ebs9AksK7a9SZ0ah/EcxlaGL+M1mAg6JOd3rX+rJ9pfJoXlasMA59QBcoi8qGQX0eF24V7E0Yg
Y01LkgQIbaNYgHsJ5H7qnwDjkTHOe6gmmgaEUrGzD2vbLbYGY9H0yBd0w9uqS8URAVo4X+AkH+Ir
2++dFlmfZZh7sBfWXzSd5HAiQRDErm3WxrbP7UJsPU10xKZQZEjbiam9Q5lYbsEaTeRzxqmjWysD
DcFGj/ncXoIzoLKsajtqDrbKWh8gL6koGxY7LOMqiNYFvjs5FRL0Ja7F58gqvIc88MthI9wOlK2w
QeFfE3DBnv5/KDuPJblxbYt+ESMIOpDTJJm2vKQymjAklUTvDUB+/VvZo1b1DSneoG906HapMmmA
g3P2Xps52gj5xNDyjVzd1H/ouqYY9l1Ssg75XZHhz+pnL32FX26mR1c12f0011Z/YQWnDyMzS9+B
jAnKs60cMGsNI8ItlLpXxb7cUuHir9xmdVM4vKg30ExHauHOyatTXqd5EltMGh7gRF8prx02zd2s
h5a5Nmm76iYLyIG+9HmmCuTQ6JsO7UhIYEUItRH1LRHZUW7b9ROPPIqWHEksmiungm0s895p96Jd
q4uwOGhGi7t6MnZkR+SuSDhEsAcLcZvCyErovtj+tylrWzdOVrN9L5IqbSka6+6UNAKvBa4MzyHs
p3Sferu3CA5zEIzFHFgSccyajPgExivEILaVvqIFJsUn0RI7drjWxfbdzEuDcwhZOmf0psGEo7Pg
Eho9W7YC8jaFJgqnfrfZDbmgOSPgWIkVPno5pf3P1FkYfOnKUPZdYXj2MbG2+rutFadSDcUcodTU
gnXAHtn/1AP126nNq5nMrAyoc6h7vaTQR9q8iw2DSJJ9YCzEDhK8Pbd7X0p354z96GCYTYhcrptp
m8/ldtXFYiwfPl/fBmJUancmDFGl3TPzyv6T4InOI5fQrooMcK3AN9S+BqGfchTbmQSkQl4XTg7G
ciR8ZWo1aZtThjJQkV/1S0HNKS/93Jcj40bbPk+VrL3YdLouPxvAg9W+l5XrRI6PAsRj5SJAS3K0
uuF9nh9SBWdlT7Zr800UY5kfupz4gAtr7/SoOErABClq9x3iqzDSCGeq+SlYSBLKp7Q50uduQuoT
0TKAhGz4LXA38w5wiO+C7Bn0Pm0L5X8OJrR+kb91zCtG8FEWJFdIvb88veJ+G0eRDAeI4GkVEwa9
fYaQ3S0nJkrJTd15A+BRSwwOIFGYNHshes6zhOJUfuyBqiaqINhksc9TngdyWpvs2yy73g19MQzk
X1j8jF1afOla+hkyE0x87/ls5M+zUy8YENNOf6JvRwBA35o/eCrKMs6okJqdcpNug/MCdewu7fom
jwZ3qYgGzMajs8rKBstiUB/IFbhs5Eg16seE2oLgSaudEEnjEW1DV/QCYyGixhaohTfJm2xrLP9G
Nj0fBxPTAhvfCugZDJKZSOhZCt56EVCm3tu1Bx2b7QDECsmpwo00bbsnB02XjrZl81knyIXoDUBV
VlI/UAWVN2QwGPNNJg3vGFDHWbc28atETRHXTo4g1kErahdjASGTW8RyXZG2O3Ao4wovOG3lF6Y8
zUAm30bSKyOlYIrtVPf2fVeu7kEXM/5C00iC/MgbE7zZ6EDJPrMCNgGKlu0UWKVLB90yAi/sAamn
XyA3Ug5YwM0oMWt5zjBxr5GJAdEJiUk3k5jyWrRncJW5BIZLFN6hZZB39EF6+7SF6QIBylmcuxH+
XhsWOcok4mHtTe0JhMwu5pqZ+KKlb5AKKtszyiNTnVfdVk5I0yG/ubalUmBQuVjj3rcq7ykgvDyu
BECHfdNZrPqu7Mbp4prJ0h62DtA4NdZAWGQm1CWR3jbEEHFFtc+a6tr1RUXpSbwvi5Lhljrga5H7
5finh9KfQ0LmGzECw1378tStYOUvbheYtMmDZqbhDA/ncRgTg3CzTIHqVXLAzp0ky9dso78Awcwj
tnJmEtDfZ21QtZ+DHqP5nU14BKmZ1HH02tFfs0v66m2AII71m6TaeGmY+UZNNqeca9JqgeWJG795
8A0K5tNQNAQ8yBUIUWisDVsK6KesP+rtumQaVd82VB+cl09+ObsDmJ56NJ+h91yBAYrKJ14E0cn7
DoY7+QFdmXwriDYA1VxznGLkgPA+Mvyk+MQe43kANgNrPvJUESlJ/nyhL4ab2yaO+0V+z0AKE/+U
XJMYh77Txb3QGD6ietvEj1rQlA8rstOWR0zaeRY3bqObY1Hl7gGMlF2cNjz/nBHHqToXDrCunWBu
QtzqJiAYq0CRI9VqEI5AilAOBBkPa9iJLAhVQ/Mgmn3kL1EuneFl8zL4qSxJLnGzoFjz59YlQuww
I6zN9iRJWWxNhMZPdxOG3gBEFGWXslojv9VyUVjR/czvT3LgNHzfVGb5rAGSfLOXkky9K9ksPVqF
5y8hoDRSY5YxtzCsjyp7ZTQ1hZPtLfx6jI2fCb66cr85dOszB52ZAV47JzE4bht+2QQqNQ+6xYjy
ObMxCfc9/nWZCiL3UrMobnHqgISX4KJvzHrg3J70S+ecXfaNNyKWwNV3mXK+BzT88PgWSQObHnYY
Mjyoeyu4Kk74OxO0Ns06upP6EgTa2R67MkCVLhtsKiHIsuRV1cDjLjyYivWYtFn5Zo9D/SrWjIEk
cdmtc58T7uSGybQCHRdp25LYZdT+8zBZBUIPDzR31ZSEI7RUsoTKLiCrIZSny8wdoMNDmkyH9UUT
P/5zkZ7EGuX4xS/O9aQgdl25JXeuXhnBNq2yvwNUMqFuusK/ywL+2h0fzfIPIh/4PHmalcnOqgim
QgHoDAc6R3nMgDqhaNOVMm/FZvprxE2hDrelYT829HoE1XEa/EQLN1sxQMDCPBZdwWxwWWT1kHUu
aDVNw7jiYKhm6t1tDjg+NctlqDeLdpfMMvYzcBoT0Ja1VzuDbwQ8vC1J5El6huo7Jt8gm6pc1j8R
2oC/rWbxnd4gMpYq8bGgmSQaGJy3YHe1Y/O6biTJcWpa8+Rhg8b+VgzaI+UUPWNHYttIDNWc1JPm
gI+3g1rLGMdzZo5OHnXe+ItWt5KPgZ2Dn3J9ZQxPNpuTFw/IQ5r9sElMrCTS2FhgR+bwZ3PerOpa
6vo6DAy/zm7tRukhIlImNSIj54Sz416rk5uwf0Wy9Tv05ROQMlLLJ/1pXOlnnP2p1/W5y3rzdrLb
/JOCFUIZ4K8Fx502WHHUG9ZhsAaf4Kbcp8Jc3cqgd9gtOomctOQUyakme0g7CT+gG/1t2NHGkLeY
h/P+zHjaG/eZbTYKdMAghztTrq5LZPa6cKQRROF9mw1SiMjZUgPxzSjFYccZX2vvmrdWIDA4UCE2
Ex2RjiApFPvBCdhXUVAxGCu5bAsYvIhgVxDmBNUuzrVnIUFRJMvmHnrk1vLebEpcONPWrhk/pVfv
hR5mV8e9DbcjKvO674984wL4CArGMU7wWS1nKPCu8alIbHM7TyRq5MccgFlwksVSLFHqm6Dz/XwE
x5GPy1DuXaUUudOsaNuF3Mn+p925C5U2TtWeSqKerYOxttfYDiOoK+u+g+x1oq6c6KZu1nCvqJrE
UdWWRMAuAmrwgNbn+LUfUc7cqQp4/Vm7bffqlIX8jhoYjGbWTBn5N1UvPif2kD6SEUlQlDmYI0eG
oSxgAXhEsR/G1CboeGBP3/Vmh3gLwiZ5T6Ju5vXGpdp72UyPvUmldmFFowuAkSi/jW/IsuaUkUPf
7C3Yev9FNvoqkU/oQAHFD3j4DTGuRAummpz2OvtutnP6NVmKcT36BszG0PDq/J0W33xy1CzkfjCT
lUcz6EmFysAgfMIulArCPmsypxV3hpZvZvloJ1IYvXRCTeLienc4WYWQL31pbu9lPkzDaexckmPT
sjaLPe9z5x3SnA55JEBh6GNflkpe2uDa/aQxrLJboS2ybDO+lX9olsH8SZPVSV5lT7bUV2a3a3LD
6dGpd0EhZrEngL3xnzo0STYHPamXn561XhMt8jSwCRR1EK4WPIn2w9Zv9RCWdk4fnGJudPYFfM9b
uIXM/xgPl9/aIENu5K5ZE1XakSSBKx8C4WYPkHBQsRy4GPyaXgAm3lnuQCth6AIMCkWyjkREcnOq
u0x6qt1vzKS/LhpnxQNOIdKRDbkQtEIpOUceew4UwyY39j19NoWZnuhA7+hmS/3eWaNLdgNM8Omd
BOwZgY+q12K3DelihsilONevTU2qGG2AMrjNaFw9Jk3pdczI0HuEAWOQF4cwl/WGzN45IJ6ApBG2
KHYERafN+V7zwD6PiZi72LSL6hgUAJSu0UKM90mjsQDOVc41UasYzOqXJnS9DBXyzG4PG9XbLkUe
ZMAA6Y87CWKlQR0Bq1d9pJC9v3OaLtZoFZbxi92Y81RnzGMV5agVzU/NxtNDvLDBCGENgu6Yg9bz
bprBRrKkexr2oaxKgq7qqja7aPKm8fPYNLywdZPTR82zzvfjFrAp7JI8sQpyojXZYXooeYSJHazn
gwENaNmJZIGM7qOWlrFZ9/bZqFMyQUh8aADPMJyP3LWw7UMBM68OTVSTMipaxt8hOBy7eFXDllmc
OMnh/ML8rb1HLTK5xBwNU3mZl842wxo9d36AXRPcYxvzkiuz1jJCNaXDHPMH467ANfzDx8oEknDT
zpFkD+NF9SxcoF436Gis0aSOcMlZ1Ogtm/jzUHQ8pRkzZzKsE/tkVIpQVYyjNrG9ow3GEYxvsV/W
cVIEBJVsN2simoDNAK8dLxicKFrc4PDJt9TLHFbOSqNz9Ep0LmrOZ6S/zup5Eb1DgwTbBUl81DIH
nqPNG+jNLbBZ63BwyX2InKFuH3E7inpvG9siv2nhjZ97lr7XQZRzHuMg7AEM5pN9m1kuQYCVr7fn
Net9cUYPnJWMFMA+oIS1TSO2O5mNJ3/uwP5MhF4L8C9b+4M2A9eqA1fL6zSVSx1VVk7YZ11X/mHM
mMyFAISr4DChY+Y41eap3AEC1c9jLdsfyegq5qkMLcmnSQDuKPTFJD1yyLumSsmhiGzlO5el7zYm
sSRLEKyJM5tCTo6ZR55sMzsXqlV8duPiej85CfU6nPy1dTlxEI1yxoCFhCRpC+Ztkow1etJFihRG
i7mImSqRhWdwvr6vgDCT4Jwja2akmCEyuB6Abk2022bcKZFmlKjwk8gjgOeo+U8e61osFYl+VZmd
VFtlNybpGtmNmwfDT106NcTjpTKI8faLirYFdvwr9XKd902d+QQkLfRv6KwxRo2yTanmPpMmOqWW
7+kdSKL1nL1fMQNkhpBDOEbLVcfNmli/ihToL+fuSrufqsFO8n3iTcgXbKfejiKfmabvDJv+dTgY
a2JGHmdWGxSzTyNGeCTTZC3UgrifNVe81m5yHjWhcPHYe+ZXcCGdi5xc6eUvLqX/IeW4gkyu7g8f
sSP0iN91EGlpcmYTcxC3CT2lkZ5KNC3ufDaNfME/2KbvqZloJtVCjnsaH2KvW4/T9rzZ59XzAbGq
zTrP2+Ydy3aoCE6fsi8d7ywFfJq+EePgxhCMAqKBkmr88mchyvXD/SbiAEPhYrazXMtGkuJ9EHFU
9Vp5IID1vsX+uasAoZ4yKQPGOot9InGIIUojNX1Thnd/kZB8iMhAkCQBq2LYdwTTYf79w+9mSLX5
Ttlu+8W1xvvZRaKWTI6wdk0VmNXeY8cCP1sw/S4OY+KrJBqgv3kHoKm2vcfcAMIht2pvPA5dY7oo
3X1a+5yykcgRfuqw7FBk5xc2uvRxVLX6XEjyKO5EXpALRL2qSor4DgEzFLc5YZ7h1SmFHi262Km6
ZdhnIMz8HTBJouA2hjRuPCS67u7Sas1ecte5erT7DUK5sSAPX/tJfckxZ9ths03vNnKmkIZu84II
dn5g0DHEpl/oFFnL4qI9GScJ8hlpKWjlzORSc5O8/JESZeu/ZUXiwR2emMLtcDEU3za9WTCIKbaN
5pWmM87w0XENGWZuW77XW4M+Xay2+TAvCbIXxrfF8pSlw7IdhIPsihU6ab+6JO7QMG+V8RXlCupy
M80c4n46R5HDyotNQ9suE7Gvl75/g7wM9+vPT9x/FWDX2+5BG7kCIq62xt/fF2JJDbrvEntnZUx7
1lh/V2JHIpKYlcCeKiIN5bZ8H4LybfH6nPTgWu6bdLv1HMm4uXaWe5Xzmf/ysT46Qq5PIzwiIAAO
aBE0+L9/rIyeiUXrUO8RoXR3bGbmc5AV08EBzvKpZXR/6HkadnQYhmvkcGI/u55KQhvRLhTDbCl3
lqrtv8jlPopx+VC8GlwjSyLFAS3y+4earK6fTUz6e6Pq0vNA0vr1pNAXp4xFcac4dJ5cFDd/cyFc
37zfVwUXKx/ER5BP7IofHcaenCicHIZZY0dTOx9GKs/SGe7Q0iMnwe/MBI3T8yejr/Jz7ywv/DXN
feU3pDl50twPhggeSOQa420oqZX+fKv+16cD78FaSxYBN+zDAyQQQ5dMQcWeFfZelc047vKy7m87
C/b8X4Tw/3FZUu05HjI3PAY8GSg+fr8DGUPmDMomi7YxOd/nsQcxHUBgj6fFzN+tlVqtz1srzp1u
vW1aQkj9qpNMp5Mt/v9+bQm2CLsnqklTgqn4/ZNMILCUY2Z6n+Rqeio5utNuyoMg9PuteP/z7/rv
tgCJl+GiiUwT8/HHpZnm5Iy6Itv2xO9xMJfIQ8HW28wEW5cj1si093X2OfHPFAN/+d3/0WKi0A+u
VxxhJM59+eH2jtpPmDrxzM85Ab6qZgDgW0tt70B7jbFwJfmcf/62lvXxecdLT0fbwnKF68H8+JqJ
Odt8qxNJPM9FxR0EcESM42K28QTdsECBNS+nOfXMBfFf2bfwTUV7oIHFEZ8jkXlqfIeKpCHI+h9J
9+Q+mEZZEipqbLQpS8oBnhomAWDNqBUJMwRjHoFpH8YzMjIQqH/+QuLjNSTbSjCT8N0rgoaH5oOe
dSo1T1GfcYBH6vyd885Ggi6uxc8s/82FsCn11vs9Kst6ZU2rZdagGAvoZgxXgyzbr7ub7YVuMMng
t/Ns2F+1TIubP3/K//Uhr4UHfkX+Qev94YFGH17XjLmJQG6l2K9VPq9fzNaQeWhOWoxnzG/z9O3P
v/Q/LzSXhkcUvh06bvi+H12ayJdMiPNBe+jauT/R+SFTBUPCEzVaEm8MzG9tL1mOw8rwZKeATPO/
kjgNhtF/s/v9Y07+9zrrmTYgK9aXq20U+8+HCig1rLw1GT8dEgLvnB1RJMT1jqN165bpJm86z6rz
y8aZr7zjjUjEAQdeIU8DZye8xJIpBvndM10FnIzBcoPglSEGGrJBXJZO0LpZq5E/MYeRZdwoR/eO
+Uq17T3bH/uTsljOdm1KcOnRGruEeGEEHDuP0Eewu4SDDLc1Igd5Lh3WuXMhSiu5cTcabNGo6O/s
NkfBR8jpzFnMGWxiWDiAEnCRKc5YN4jvx1cXlMz6lm5gh+/boaGhq8d1u3Skh3kX2xkc+86aEDLl
bmF6NymPWhU6c4YfDyIlB2PkuN4XsgJpGqqgdtUD0raMREZvxhkxYIQ9/OXx+LgUeGy35tWwgaWf
kvjjKrtWU0O/UZsHjAdmAmMggAtI3xObWWpKiFZ2j/cv7F3TXzA+ZbaBILDyVUgkAhE2pLUrND+9
OSx/KQU+7nqswxapPB4Ji3wuQEW/vy3YPE3ga+l6IJ+RKMIp7TCmlryt6dWp+pcFhI30w5IIfAMv
CoCRa/oBPrsP+167FkY9elN6QLkm+6sATLT3SduXv2rb6NbYxhSBlKtAHfZIRoF6DmY/988zDcL0
fl0wpBzKOXXNr6k/c97WLmKjR/pv2d01MnsL0yBdnEuJJkm8ERBe6c99lvcVQaDGoOMO7rEZuxBx
7chVJuX+uMJCuk1a+u0YWf654C0QsLuNEOYlnLn6RSy1SqtDUiqyW/kxtxTPc55q4oBHp9q+SIH8
e6d6qJk7B6CJOAYlIdOOgaUtuo5HXwOR+D+nNqGLkgoJyC6lK0dh15BfE8Npq79adSoOpvAS71yJ
FRUuJq3EDPsS3xJGe4gm1P72eI+Ee4Cl2lJbHZiI1URJZ+vsMY9K5zGebWNJvowM7Q8effcqdNe6
/aFtc2n2aJAGH11y138OBgtDSt8b86+urcFmb4GqfrBr0PGpA3uuXxnTWH04Zbn4vOq8ILeI2O/h
pSvd9JRyfKpPzuwuT3bbkRrNbKRNTrZM9LvNysoS32KRD+1ynknaaAJ1IlzEJSqaUJPX62YV7IiH
abLQLZQYdq2T+UTl+JX9S1QWAO42nwhvREX5ya7KQb6XpX/NaM96ryHQI0nKAmc3uUwE+IiCIQQP
y81KQ7IMm1Fpbyd9vKUxcpuqR4CVzHtH1g3z1UHTV2T4wykG6c9shJafm9DTyrpUuH3anlhpcAc2
2yhXHP8KGOuDx4F1C00xN2++pg+8k6A46Wd5XfKVDRLaNmVbZhSHloz42CqQ3hxTXazWM+ZZHMfW
BhDZIVf5JBdj82N0fT4+asZ1rGdz0fnHCtpRHbmZP/7UxcLcsRYp58gemoNBNqPD3AHh2qQuPRtQ
ttcp1K2dwfm3PdKXkM0lm7v0omAn9md67BJDVg5MfNfaWf59Kpqiw2qsYMAJkdekOg2iZXqxbHIL
WbO5DVnjOkiJl7WxIsaX6YOVI36nr+NWZWTYCny0UbtrF9rkLX4ykTqToNXo/OIvJUExHG/dn1th
0ejHmeJ3oWqTlUAnYhqjlmXVv6dHjhAm3YwH3crhG6d/L7h2plaegHr87pSba+0pozjrSBznYec4
ugpXp+4kA+JsAXm0iCC0mprySWWJlcbFYOdnT5D2Dap9QW5n1M3nwCvWU4OM4B1NSX/ySj9nLGyV
pbPvbHgpp8bmDgIwqdBc4pPxu4jgMWKPC6eFOc6k0L7JLTdgl14ahMCTO0Ly9vHHUnzDVjgvRp89
046dh9t06vQTyZKk2C51J26QdBpDtE6yB1FfD/Ai5UY025OySDW7FISsuRHKFh5Sf9ist0aYdNTG
HAPhjoYal7tBtoinTKQmEb+UsTr2Sg0AfoBUB/O7T8oHo4Jlflw1rS2EbIU1IfKi04GFB5/CrnKT
iavhbsTggJlnFQquch6ZOONN0xHIE0O9zG060QZRM1vXvzo0ySQ59K77lC/aG0LbT9vLdnXP70xK
BDuSJdqRXa9L9aKQA7RnQr0cUl5K8VpTkzbhuhoNiO2uSPVpAZL+Sk/L1CHdFycNN4YydYhtq4Dp
FGQxbwUtAdVZsGVEk79VJYaXI+zs/A0TIxaahDC1/mBVW/ecwqsvgLZJzcrHNLHhqah4tvnr/S8q
zyGnp15SvLQDmCF4Zy6xRhvKn/0Gzr6PJbHdOOyswCRgPSty2Nm+VayPk1MPQUwClvPQdCkjjsbJ
2qcx8VwrGszmKg/Z0EqH11kOIWRAaXL695bzoyup2+Ol3mR3Es60vSovowyxR57UHJqX91IhyEdu
gmSpiGjh40q0JoOXfFEM8Nu1W8llL21rvya0QkOhAzc2+IM2lJ28xsaZbv/Dy1xqJE30qh0hmpeP
qtQsPw0BrF/rmll9SHLbxvLjBwgdJ+XiMVmLDXi8BG+gncH6RN3WFKG30Ik4QQq76tkD/Erh5g5t
BNi4MmhfWQZsddMxml1mmbK6MGvSz4VmWso6rnX25KZj+T6oTTwSBUBYqtdA4GTBMohRT3Ui3BfB
XIVUkwFK0Bn+goGv0kvZjpiuvYiywaW/oOdrY0adXmSujHrSSujuZegya4kGv0GVzjLFtNmBSQjf
Yw2c7aFvzHRvBAiXwm0z8/y4TpRKO4TcwtwbnV1zOGUKYB2qBZufsjXU/MyZMm9ftMLvw2y02p84
3kYEMVXHdc56NBHIbSrPR5IoYyxM53WAv4C7csYZtlm5vvaw2/6HzxDWpOVr2Sr0Vu3K4+LZifO5
I6JQo7eeF/GgLTj9XxKPRy/E+8umBsqJ3lawEDYlXQQYUVEk6ZNVYObBAb7ow0D1MLKQY9UiTCwo
uCITrU/ZzVv6UDH3uwsIf2J0P9fzV3stjaTalamxyH3OKsHPKEHiBOF9VTxIjTfU1JZJ8EvQD8lp
yY0qv2S1I74ItQb1ibY9/i/a9dOPEp0WEeJrn5iPvlk7sZxJF4kQI2UDEjBRkKzR9S8TKfVOnDWI
2fZCEnLB6BsQFvrW8urwCAiHBASYPpWsyj/Qfhc5F9F2vIMa8XAg323yPfGH87PMzOSHK7ZAHxNu
aZyVdfet5KC47fu8bn/K1EfkN/Bm1qRvoL/CstDWc9TjLSZfwC7phSmVSxO1B3sXPgx32sIFY+dM
9FWvL5IjD9NgsS2KFMIBLM/E4ZfTMECvO6sC1/MFXC+R9LOheyLBCAr4NJUFsX2eU7COVZ498vNm
UH2RGwnmbD/BdrO0JXxOYEDNqSLMKOHFm7lrUwN/u29d76ZLYEmGpo/hYZ9sDp5JnftY/XxtIX02
iokgBbeb1u0RM18HdHAkuC1acu3U0VDWK3N2LygKptut866HtPd3a95ZzqHQpRx4zkea+psp0XZO
Ps9BkHafCFKxUuRo8/hl6YjZoGJ0CRuyrh2ijPcsD9O1YxxeF5NGd0brrCE0rtf9nieFNyi1OfLV
5bYuN4xz+m8ArnAeCG0u7r3BUFmFfr6Kuw1B3TWxUnRkdzUiz26aqZmHnUfs31d3Sd2fPcuJS4II
AQqXZl2sB8xwDHgwP0+ldzEau9FR0fW6OPuA5WVU1izWN3Axuu6KOC26mP0gd2JLCSe546XffHRz
i44DshHkrcEM/lZ0a+Ne5o5i/tFpUwPDD4Fw09lvuEnR9SiNjCQj7ii0TZRle6sY3Buq5G2NgtJ0
0OEUrf9qpDozWZyQQOwawDD+MUvLDAcwiWcG5QYwoHg1UPc2O8m4JrjLEs4RkbDE5odalf12X7qe
vqaiJbMfU1VP25ECPRlnol9mfP+gH0RUWKgbYvSSnREtuqJQTE3MKq8dEhJ3Xy1tL9i2DMOORsuZ
bkFKG/W5pqH5bTNnizbw3Oc/Eo97HeKumaebViCTvfS1XXn3II+85dfoJssSl8j4l1NTbM6jUeSO
e6CiGln1UbhpAtjQftQxpU3wJjKnOeosN/0df4uDx2kEevOQj5nPCGKxGjMmaYb/uiDSbw4dt5jS
m9xJg+Kp8lRm7j1Wr+WkSEDNPkvMmFc7ZGencV6Sm3mfb+hJbmtosYRnD1OqXsWSdhzHx9XPGjTQ
oH9klSXLgSFemz5V4LGxB/SLLWaGPt5IDqBXEwiXprryGc1mAtslUkxB1d+jUkHIb6gH+KxE0mDG
bR/TiXzVvYR3p0JbMbu6SRX90hcnc9pH1I943Ql5bHCkmnn9aq5pHox/ad39t4dEpY+OhQxpjxT4
j5ySJs1d5AHpfECq1t4BgfjaYeADyK8x3XeE/P0FOnNtnP27YwM5hDkBHBEfYAfErQ8m+oDDd6XW
dT4Ua7k8j3aeh+wExZPKiCljWpHMYdCoVzgz8y317t984//r19MAAC5G64hO5YdT+ex7dJgHphJm
rpAvza0B4mJ0nOGLcrLxORBj+quayCLN2ny8MWzj15/bIx9//3ViQ38EMTcXgv7stXvyL4QK7dN1
GDBLHWjXtP4OBxddGOqxE/KnKYbi0ceb3y5XNR6aemrL/i/To49tiWsXhPkMxY6gK205Hy5ARzVh
AnlfwYWhJkdynZ6NvDNfAr76je/Ny5vLXvyXzvt/0AnX30orCFyYx7iSMv/3r51izbOGJAM1b5TP
TGzy86KaKbTQquaRWWBySEnQuRQCuEaF7PsJtET9l/7Pfy49FDz3H3gCCGPLDq7//78uve+Tj4oi
wDlklKHt2SUxL7mYal5UCACx3y495ChSnHpneK+D1LwHqTKN+z/f/38ax/9+/imqgJqALmAO69Ek
+3Al4LI0rRDIxIvVXR3OUQnltzl0ansf3F4tT8hWLBkOtFPcq0du+mVRief7CljTdDsVo6huK0dZ
xkPZBO34S01dhQk492R6SR1ZbkdKgJUY2WCCALN0WxUnSSc1i3eGHsnJPBZcYyDpo+yRxYTGJCrz
smni15HrZK3aE+jkkXEEzKr+gv3CaV/RifvWnV/MGC9cclHTIz3gDvCFB57qWMlZOWHp0QXZz23g
VFjIcRzutOE0psIw7LYvDN5XEc+zVb9jHTUn4neRD4Yd4LDPtN8JtnSgplSXstaJ+5cu+X+wRZLc
bVrzKHNg47jyGkP37xtvIqJdZalwloF1jjTKmD1Bx1vk9lb+XCAEuXGrVp/ntm5J/mnFPTR591B2
19n5vOZha3bt8c+PgfjPc8AgjAGcD/lS0mWD/Pb7h5q2riGlehX7YPThPCmcZsZ5agphPE9rDRfA
Txackego+zAlfJo4JElldDfQL+MdaWCFPmuCMoYTsrbVPKDeEf3OWWh6vOOtHp99bPPpcSW7OYtV
Y/RvkpgH1J5au6/d7PoetavsX4xxqIqzLlAAV4By+31am1tydCysBbu5tyDBaosQVSIu2C6Js16p
DVPafnGVJx26wblc5AW7hmrOdD9c51HZhe72FYHF4yd/8tL+RNk5mYxv2szZY3RXxm4yCv+mhH/o
RKDs3Rer3waSmateDzTL56R564QkHmOdnJmTLgCPYd8WtE/IJwYNgHGb1lMopslFcyGsqXhYKVTl
meMPA2/A01sRr7oY5nvPGho6iE0/PDlFZ7KhIs9ZTx4gIO95FnCzUqOwEU+hz/C+pNyoZ7W09rfR
cOfuMmraL3GWwWtDAmsl2b7ZGK+gkB7R5WZWu237CnlZfqemgSRaMlz9z87irP/H3Jks121s2/ZX
Tpw+HECizMa5DQC7YE2xpjoIiqJQA4m66L8vez/2BuyId0XKVwz3ruOEj8OyBGJvIHPlWnOOaQe5
itebjherCmogIg65dCW/v4w0umquXU4p57lB4iHO8CkgZmAYxpxQjpf2mMk6BNNAxxw+ZLvjW1ij
EI/hku872xteVBFb5HSAXDmdjRhR7JBk3Z4Aw8whNXfgFpIhcVAwTfA6EQhYRFFHpaHtOrDy6dWY
gbg5rfWSx9xGUDQGZPPU0yu8U9T7Pg8AbGZoqz1oHgZhmnket3I7vxqdxrVipzigX/WWa5UTK+2n
mts9cSSjEEb6ghKuy0UyX8WdbJwbQsyKU8RMBspxzykSbDvpcED0VBv7yMjj5FBps2Gf4QTkplMg
ceklQIPoCas7DHSZe1YLkgEaVdka0ZuV9PihimVCMDZBbTztitntThetRcqkOdX0UBKj7fp0gvXh
k13sY6kE4JC6197Cb7bwFPODlgDiudKTdI2hawHHi2fZfllbUl4oZ9aTigftH85xt+tRJ2xQL74P
w/2wYVGMDsMouJ5ZauYt/OLXBZ9LEqA4+UaW6/Tt92vSL0Ncrgcq25MIi9AtwGB9vyS5GknuQGJw
w7n2n5mJ81USy32LD/I5KyHLALUai7NBjrUv08ky/F6K+cCs3XsWTvySu3rFAdmxwml1QczCjiYt
qoqmNAolSrmAeqg+z9VYnSfYovGbptbj7+/h49h9uwXuQAiP0Yvh6R9WVc5nUTLkUPfiGewLbgNj
7+KLCh13pecaC4BoOm3A8wFbwuH3lxYWH8/POzt6HIIZSD1i8i9hsX2Yxtb1gC5yiJx9lWK5Qb6Y
A8jtpgoHWaTbg7ysxIifCLkxUtfOidF6aFO2Ps19Yw+h6KGABxSNkJ06ztgY9cxBHDlk4m0Av7W+
OoXDs+asNCZwenKICfD3yGTv2QNi5rgxtAuVuuTVOfSfRv/3d/fLs88QgM8W1QhLkGF+LFu0aozi
qh4V7uQlCx36PT/iDJ6rYWA0RYmuZZ/UqeY2jnv/cUIaBGKPCo2KkZr5/dMYwxoEPxQ3h2nR6XpH
MXEz3lBCqcN5yUZgtVN65tKOKA8ibgn/zCiszBAHkDns9D7Nl8CqdQwm0Dkkcx2nLR+qrrB6FAgp
pgHOY/iQ3cTEZLQyrH7QymG+j0WTxidIiWjWp3USFJyK9SNuvpIzKyFqJzkajlfF6XA3bdNjVt/u
4c+P+h/llV2pt+q2b9/e+osX9TEqGCjga62IlIqT/r/+x9Th/4WBwmI77f3PsXz3efuSVm/vAsm2
3/FXIJml/wHNlVKJM4SOG3xbnqa3rv/Pv4X4w9iqKFYsWMoWYL//H0hmiz/4FWQ4yL35RTSm/53J
RyAZDzRr2VaRk8Ag/0ma8PuX393wXZynpDRRU7GHflyrywRNmRjaiSGbkKcol61TeOqfpa/87VXQ
UHGLAOgYMr1/J9xUeWWqaItrYJU1XDp5f5xhn3yyE7xfRbeb2d5x19ty1uDdex82gt4uEQY7W86n
Ww/kCut1QJisdqQHmZ7CP+/uNfhRZ3VuZJ+qCLdi/L9f+7+uzUrDjB7djY7f7P0tlugEC72ox7CO
Ma59w3zprWw8jUcrF1d5ue56eorzgTFcMTN0lvEDecfGcyXKJgqJc8HOB+yomINYc5mfla0OfJCp
LCkYn6yJv34byD45wnERTvO/rIngFwgMHfQxNBKzvxGrkcUnjr4U5idqwu1I/v4jsTmWcn7hG3e5
zIevg0mlN23rfgjgpKfBborZvhJ92UwXHhCuFgzZAMfzKZFkiTj/9CY9G/EkOTDb/5CUbRvDT6fm
gRg4ozEzj7RYzQnpRrlnZkNv/qcX/fqvm/kXiKvrGsdY959///Kte0wPiIDYOjO8yPLDVRpzYZaA
IzwkaKxDteohkrdN9YCb4On3V9r+pHcf5lYZOPhYBAWc+EWYZy9SlWw2RggMa8ZC50TYfUe09t48
a2dFbiMR/v0Vf3lMWKp4ls2t5YJQ+WMGSDoMOG+cDB3GYtGqdbZ+g1Nrn5xyf3lI/rwKWnTqH0Qu
f4LRf/qebEbbBGhwFVNX0U0GzWVfuKkeZjOReUJvHkxYFde/v7PPrvnhwQSqaC3WyjWFR7K0KKF1
GXnzqkrHeey9HMFh7Lqn//SaLEncK0pObMHUWe+fR9xuLeceuAXC06LTMVv7a8Nc59Ncq63CR2iR
9xuJb4r+UfHPukTD0HIAThLLB3fz45oYV5NGZAKQAEYPxc2IDfyF0YHjs/y6gz/i8fmkUfrLK8EK
yF+GSb4lBe1HoG8NDKkrGtsOSW5QV4ZUjQqJB8mYAXuZdvL7T3UDOL9/MWjJ0hXkQqTGIeG2P55u
YFrRJWnykdI0ghiE4jGrTlVGjPJj1rfQ5mJuEs4yNt7qIPoCi6+AJVQgdnTk0TbaxniZi5loR5yB
+diegmrzYkaQ7qLtIfU2JEibWF/9eVbAQeg6EHBgtHbk7Kpx4wGyrFFQEeg5m8dhACvORAzZB/Ps
IW2DErCoumo78krOCBQyqtNpTUzz0SPYqIEuVQTdap6gUJHGzoRMx76F5F0cs0TO/TcrbeaCcd8y
1edT7TTOkeOhBOLqRNqr0ZaTHqIWUE81c3j7xIEIieTA5jTr2wjoKhzbRGIEsV7bRriMxIH4YyvH
Q1q0BI9GJSMi3yzUkF9kugRWCXkuFodYs7NrcgPQTK2u8MZrUlwSc4/ZSj1BP9C0fbZmttpzALC8
c8tFzOgX7SYsMRjsXnm6ZZhHJ9a7Byi6nsuJIAbw5bsVE/ZXVkdrtnZKxEgLgyjqGj5aNYl8IqJz
da37Xp/B8at6gWIqaCzBjsE8KnY6+cUoFoaqf1jmsooPssiF4UOFgJoRCyb0Zyvn36OY0RLurNxF
37piC/wiFZL+A7F38mvkuf2gmPWPjUMLdWpdSGrF7Bm3E9uF8cVqMNfTYQapeQDshO7a1/C/xztN
5v0EWEGuAnT8OGrnUzJjW9E0xEZ3bg3pA5lGDKWPbQIkct33Di4zA+Cbj8rAya+F0VXQRxr0DQHO
Hv45aul4hgMdgXm3xXo9ZplGc4YMcPus6/jeyVxZNdWdR7gc7wihqLGOZPCeGO2NzYMXtUJHJNOn
MpiZgueXNsO8ZY+YMIK3zAboSzzrgI575dy2dLFnP2KEW5+xrlNslIrIcWgcnSgDp63slxZLVh00
DNnpnigAak9N31tvEfb5JShBN2y6+6JMA0H2EfkM2dw8YJzV7oRAf7I3TcaWcH420QEjEgMJZ5wx
hELDOmXbrET7wZOPzsGpYR74ZhdFDwAHG/CADlZGmrIzPr8VekcTplFM8sFqT0kwj736Ug0Gg3Kw
aFEDPttFKoVIZDAPLpzLx7qoWv6QXEOOEhOABAwDMeI3M0aSdJlm9Yb2Es7iBrOXk2OTDThJ/HVN
3CmYpsj4LrUBmhkYpmXm8QK5E3Cd/tUuxaoHwNrYjDoLYStD63apAU6bKXA4xLDLMU0Mae074ERq
v2BjlAFHwnW4UhRWNMsS0Fs7feG9uSs19HA3bIJZumeCmAwB+1tzuUQS+x2uxfJ5ALn0pI1NdkUw
pG0dhnRGdMQxLU+JtyomMmWlJrx7YZr6Ka+u/txP4J12rdLEbdXFq/yaC4hge/JfbS0JMDW28ivG
ujK5NlG0AkgcjWrlzyn1vAPjpSK7SfC2WCWUB31qHw2kN9216Q5td4azfLgdzdhOTvS6FXiRhp45
CDEQOZvynjwdEZ8QrbdJiSq6eOeK+Vi+b8XSiesmTt3uZnJrYTUBozm8ReVKMCVB32nefs/y3Jjv
tCbNqiPvZlXsgK5Z3hv+8TTaMzaFvyCGiFnxQNo8fuVpWgGpVqqrbgBCO1tL1yr2s1P1MwMHEMAr
moSvqUfjPlgMB/+ibnf5F9zkhCkYkcpvKKL1h2S1ejz8nkLo5WJdDXW6rqeeY+jPdWnMb85QLD8q
qgDzYLdNcqVmL1XXEGybb5lWqa92bU5fRK4k9nI0Avf60NsPettj6XJJjmOGy7qI8t/1brJCat+V
rNenbkK3GC4cEbOdQq/mnqIybQ7oW5oxxOOCn7rVbTSesRljolzg5x5NVahLDd1sWCHbWwMPLvK4
h61TzyGsWFATioEqH+EsEGYqL1LnNFTaOzePWbFGCL9E1M2rtWN2MjlIEe3yYdInllVIUWQ29SAD
utCrbQgpdjEOb5NEqRkI2WoPcZOLa4zcmuljEMcT0bWmwP9JdvteENbZnyISG49eDJQG1GDN2x71
XnGEgxHhsB9652XKPZwatFKHJ6Y+2AdLCw1GqLJlvhwstX6hYQ8IfkiQmPix7SQanjygCTtI6Uhw
DJA8NV93Vr/R6AW8ApWAhHbZZSQPMgPrwsK2iikYYSDoh0IfzBjNeOZ9MY2iae8mvQefY+BieNm+
2ld0RSYFVj9BeIObD8rPcMjoOiwkDV5MLrrtAPW9dSjHyuxhQXfxtY7HyqUvsyRPi839hx565GrH
LqzTDJzbRgApbhEhxbjdr1dtbdqw7/rFO46gRHU/klbDDu4qWk79mmrfWpqJyC61WhrhmEyJs8sX
s/raCzeSl7DXczQ2FnvInb6MluaX0G8vqmkwDFQ/HlQUPTOjo4vq7w0QDzFKFZ3rODArW706W8LB
Ph8yTeJQjt0fWBxbLYyA4UFacyqLb9Rsx52NpDs6zAVUDzbf5QpbpT0fGlfS8pPke9l+Tav0UaAe
6vZVJO0xtDHt576XV4Drsp6S2c9Ww072Bi7nEijtFGUgF+v0em5Rb+KVqY2XLsYg7WNq0Bm55Tmg
YLFq3kvB4Oep1ntP+PlUCxVE1mzer5NBznkqDUx9K2KgFw2IUBGi0EczOTMxWiA9zojznLabvwJ6
iuI9QeTtTZy5axJydlFD4OWyng7V5HV6oBQTQ3isglAEGvAI0jrRk7PqRc2p05nlsmuNDSBrUfJ8
S1kUbzw2Z7gUVkQkw+hNoEfaKk86OsRzT9Lh6rFsGgDwMCp4jID2nbXq/cmo9W4ZDF5uPRfeiMgs
h6Mz+x3u+WHXkdZIYACOEjZwNZCa4uaiO855394hyMh02HnFgKKFhsEcynRV+uUUNxUcIJXzreZ9
n9yAoGaKBh1ebXOsdkG0BAB3Z7Z0cvegr8dvGeJeSlYs6Dg8nAzBrtNLmyC01NGA+CarhNldDiNl
VZvHl5nJIPnYozuDB4PlzWRIr4yTFFwWNaTKESwlUTU/F4kFNT0pSwiHE37AmwhKYH+KMMJmB0Js
8KBoF6++N1vQijSRmFeNAlV60Ccndo6uieBpZ2abxSg1uvRxgozy0oop83bIlzw3tMbU/RGVmXL8
zoySJBhZpn+MdiVvCVaUp/qkkKPOnWof8J3lD72ITcVqgrofdEFpHHrZATytpRuhdKwdR+EbWdqH
qakG9nh3UN/mOqlvK+Aa912r0A6NrVJHt+656ValthPktge73IUIlIWLJb1wLS2EN3PuVF+qGRRJ
0JhQAFDrGM0jVA4Ff2HWq9Nac1aCHQYDOwsxHu6DljAW8MGReC34MVT6u81KqhiytNSmNu0NPXA6
AWTDaulM8aYxQApdMO+DD2bMPRMlByRc84Z5AdDDRhjI4Mz1V0ZLSzC6HIV9hLlJBFxIh/Lv2ejP
TxmOIj8yEDne4tG28gP06erCRuT61FLhZTsTghdG805S0ImUXLbAXJvpxAWr/xgtEeHWZV2Wl3yd
jQAj6/V2ICBWfnH6boFZVrXkAo5FeduTonErxFLdswOVQFynPnpDN9f0fpwuA5z8GX9g4+WtxrO2
eJde1JO1gY0mfpBrg7g7bgoYGpTY8+uYlNWlZc7bmYMvdvQRQm/ZHphYKIDj2R6oFROPVYtslBPl
pQCOITnADVaOZhKD7M7iUcPWgMcAqWxMdZzx4Y8wpE7sjFC2IKJg/bKyQrY8EmOd7aGlRreLNbCJ
QB6ISVK2RANGclA/DP41I3JQeN/QLI6j7yRmezVlEUeC2ZUlUq1unUDN9hKxn4A44takmPjFsFKB
pHNntiR89HoapLMzPcexrVZfVo19wXTchKvZTfUtygONxRkGI+cMxuat30Qwwk8B7JGDNLMUIR7M
km+erNR8LKB9X1Uj4SFnLJHlc7eYZX0AmendQmJzPF+b6+Fr3zo2/xhPJvrO2S5Dq66jB48HIT+x
RF0+Sh3eiN9HmYFAo7e0c9WQB4cQcZI3RcnpNbScFCsFha3NeZB6mqoJIRkv7AxvxJ+cNCXfiSxD
SpMiNp6cDlaGjZA+80GR1iCoC3r8u4XD4lvWctJCi87BdTfHupzJd9uM+atR49cByA4qIld9HW7B
8rM/umlJjMVsFZyC3LnUg9XVoZrCnADb33nzNpi33eQAkmqMkOkZ5p1h1SzONpjyZ+oWS4SGnamr
OsK757dj3zNDckFK+IJK4AxCms5uBVsX8uiEBPrLAFa2ZIwyTM+jKas79Npg7di7qssBGX9zSVsQ
vjG1BLVHq0RJRQWngWwcjqjoO+IOw1kP+nOmLVQ3X1OBgJE7k2A7krIfoPRlDNEDe/DKOyNW1p0+
6KDkvd4zb5M8zj3fyEaOUI1H0cjpvJOOD2E0fUkQ7yN9kMX6UgJJ5M8vPZb0weZJ99NIYrYeAMv8
cGY74ZuDErePmM59bex0fCOBg8QtRIVsTXwfGizHDtwN7UeLb7Um/Sdn0ExekpPpS31VLSZOkGaE
hoWfZ4CHHHFoBTQD+bzcb3f6hkdmxGuSJcUB60pNgkdFUQsJGYRpwfki39D12VtKQM4GwaEE9ktD
rECJYyt3ArejtvcFk/tzQpHrp2EomL93uqsFAHQ4cCaeI16EUWrnYzv3z2Osp/CTW5YTnDBZf9P0
DNQAEugJUBlhZHqY23bBB7lgqNk7vYq+UR4MhHy4+sJZVnP4ObI6hoStt7wPPg4/79J1c/dWsyvt
fnCL5iWKipWdHZbQHYkqnGayqIbOoLWRc8sAnuGuLEFuXpSgJ8yDHPE30JXO6VosHEq+i85Knshm
V5B3REo/H/FIf4xzGOKArlDlbucnOKz4Edf+hEMq5SXss5z7yKk6Dmrqy7ucL7okTcS2j/gprOZ0
tCSDeL2P+7MNMh4mGAvPGEqgfxULAr8jK+oKWRYdoBbEQpk3k5OjaYUUPlo+UtzmBlYVMtnCMjFp
N3aZUUivkNpCd7CIL1qamAIUI3L7BcENTnEObUtNoc46vNMwGyi/1EY7PgwYaK4sTRPPsu/FFAil
UTyyLjsxQ8uB9pKih3I+lEutEf5BhEs4wNAk+QhaOT2EFuAi0vco9V4q5lwiHNZy0f0Z/9sjdBoy
DQgMgKA5GXpi+JNpZ1fz4NkNwVMGCq9G9vDrm7KUJ8RtSidsUTAPISSY8aF3YZP6Vj8aLwP1qcYp
aFnJCMH3UZ+SBGXgzJVp3fli1HI0JJtkREsXMKUIZHt1RjBUy3+xmV08phNPE3QmBtXwYMwTu3X5
GSpTS17gaHGZCtaPPGs7WWvHtp43kqt0eLCsceAK06K8zYWVOPbRjFY+WkCAFfF2LYahPSfC7iLV
CWw5mTAcICNh2kuQFrZ96fcqWbSga5qJtMK0r+XOisk+D3HxxWHM1wff22qIo3I6npWdDmVGPUHS
N8DpVQSsAkOfe8+f0UY7AWoLoNculM8DcF/HQZ2Ll4FFKxJeKMppvucNXu09gbjqC4poOzu2HKGY
7JcRGVatrfQpaJFQv+HpNNHljsvCUtGvr1bv2KfCcHBaNKQPPtkAcR/bTLSvMVNoQi6sBCKsPk/2
G93jgnLEitM2pBMDe86dxPB9cmcgRxTqzbOsHOPK6xXJM6DPvHt2rdr1rZzn9DCOY/2FGYfuXnit
pe6x2Ue93+mNvC7cKn+irxEBDtRQ1e66pkPZ3W1MU79xt31fmz2QR2ZjtJpvQyEnHoHTxeuKoAsa
U8IYk7TrFC3RTIYd0gQ9VvvRi61vZqZHt8RPtUlQuqgaLlYPFuUeAefy1TUXaFcG8l5aDe1oTse8
zYv0GvHXoELgW9hyTLdzBekKDdZQZ6OK9ZOpKjtcoypjvsX7ey1WwRsxQD/7UUHjHhm+m1QRbKlF
GuDoQAADNWAs77U8q++XhlmOn679fMdQ3krA3btUDb3NIfQ4urjUeIlsG9nfnKlzyKcs59Y0SlaF
kQkDfT8FbMyxG0EFRPfzfLBgM9E2SRT+CI2AJc76KUwZh865bw3xOvq9ERGdV0QCtBYvIWyR1K7H
YFaO96iXEtkgDAAYTkMdj1y4zhZKgg4BwbKSeXwkbQUVd2sn8aPUaO4A560FAUtJTcutA736nVlD
a4QFqwEJDq1C6F6RmfqcYvClwOwyYDrGbBBwVos1B2BfrOOTV1ZOvMd+VFF/67Se/LhEdUUKb4Ut
yI4a9YjvswYGoxu3WeX10c4Zkokvk/YV/rGuuWfFHC/F6NrAVzlooqhggf5hFl3+TeAapRDAKB2T
C86xZ2dBCn4iNwoZ3oAyDRPUlA4XdgPFnfQolF87HF20TrTaJny4Z2iJ3Uu3oujEpgVMt6usNXI2
lpwg3kUz4yfTrJprWWgA/WgJRKRjVEgzEmPOruVMGh9tu0ocYzMf5d4yxvJSy5eyI5vHiOB2WZF3
72YT+KK2MxsvgI7G6VPvC+HtayfqEoIujM0A6Q6LB6PPjc4TnYFlYMeI8E+zUtVPEW3WBrWsSH7o
Eq3QHncDDNmZwI47i5krX1pma1+j3kaBuPIh1HtF6y/euVOBgtWsZXUNScR7naRJ9HcCAvhRd0Bt
hWo08vt0rEkMISGIeVE3j6UbwP9278c5b9j1WR/mfWEa+SvDZppIxEbGGuTIwl7P6zy3kYnbovpa
LYtJjZTqZvNtVBZiob7BAuizUsr4uh5tvTiBTTS9mfbQfzcaAoQAPCbtQDwGUxm/0ybiBuqkMK4s
E34hgQRTh1EcJ/McNo2ETCfoWly0rBMa6+KwHF1rMPtzRI3dow4DcAosypUTE+F0z+LRWq9YsjGk
NU1E31ZzvOox0zEKhpG+eFeZo+ybhU7Pq04rjH4ScsJvSVdzUoJsmHoHNNI9LQ7DVT9At9UAVMH6
Xc5sGKZvd6Y4MtQu1ClsIw/z3tBgb1aKKrWndfsm5aqxPg1aea7ha4+CsitszM39mn+LpzabeZ/q
iu4+Fs7erzFPogyUKZX2lJkss0iw3TEgVBC7Buc2cFith2n4WJuOe6pB9/ye2Uj+WEeZHbBqgk3a
lfi3jT0IPrsKKlrmDSVvZKRnC/0zQcKRmz7jz+Nh4cQGEooinrcYbFt/hat5+TojkueoZ+KT8ilF
8WvSxe+aA6pSHYyhvrR3CZapN1GtBE1lqiOhuDHRc+lkO+CWTzf0YJNrxo2ZkJvgR9baYV5ekpGW
R8xjgdc5SsfdyDhz8RcO2tkJUzb7ajL7seOoahJjHU90FndO69EhMGnZiB21g8L9JNg3+VGSKQ7A
q8m7qSzjKACduuXbUDM6Z8ppUzscJNELJ33n2Zeo6vVrY3u2KbHYcMOmVwYt2QIjMvOkMpoYDSn7
fJqLnpERtl3tCqeQSHZoTCJw8vnCG120tcCNgwma6VmrRd6BhHETyiw2eJanCmPuTgGbBTiGjZ5Z
lle32SHK6GmcA8umWdgLtseLnL6oFhKAm65h6YzVM0QPTQuUzAkTiDhsfqEe0eod5SbVl4ue8R7R
sb1Zdu1oO1A7boopKAd33q0rSOMJQdi080qURwG5KDiXl0jRACGWr0z2iD7INRg8BZ86w1cSYXVy
ABxtLwr0NA3xUVBV68DQY6LlFfC75A8podYdehJeGIPWrXsSwYmsToiAcy6MOhUCXj+oO19HA9Zh
hRvN4lAxAmnDUUbj2ZArZwCBJrQreieQWlOwgXHQ6mZUBxJt6pu1tmUXpowENyMT5+o9J0/HC2Af
tRhy6yzD8t22yx3vbantcPmyKQ8rqwKCOD26SgvTutRrs/42MgxYg5meDfFqGWRqH35bzsx3pRQK
jCJzQMTzzkUYV5lJ7WWktIU1bolu7CKS7UE2Sb6t4lltguQ2Obrqo9SPVMOzu6eU4RStF9qqnVIG
u+i0x1RP7nQa2v1rqlOO4WdfEp7vMvI0+jtcNb+qFWyIA8U+Tfqarmd5hreL6SduFw+EgChqy1cL
x7K9mrr2zIMW98ie2QsGAg37bZU6erdnml9kR7MuhivDsYfhkmNC1NzoOakF2AAc+mpx7I5PSALo
Iq+MwQbOxoVngJDL4IaFBbu0tU+ZOXi7tR7MPeX+bASOXmw85krrb1AtpV+7Ok1pyxa0a31wqBOr
eUq1OhAgdVv2Ul4geVniCyu2lNrK2UTbA/5MUIoblUNmWVPB0QUCw9ndtNchD2eOcARxZZLkyBKz
j/QNYEjz0UxKxKe4qMtnzXU7PawHoTFEX0fnuVXjUDA5SIn0GkVNegKEZ0i+XLl4lqOmw9LsmM+q
XM9+yKXOn+YUXR3AjGJ4lfag2u+cYhBj7RMdbN9zzWpVNv6E+3dtgroH7Lkr0BV3j2tBwFnoFLOh
AkkS1XJKb6wedi3WIvCEblWQ5ShRFPjurFghzIJpoo/K3ht/NGWSsLh1LY1Xk+SY6I5RRNJzppra
l8lyWT80WCqxL2D7WYcpYS7jc9Yk4KCREWD1AlHBMdagjdFJlqm301vESztgE9ZtRRATHa9VG05m
6YLJIP6veFgTIAAheri6O/MY+Js7uRpNGhAvQ+DmkhomAufE47WPIiMjknfVtnRzw1HJad0yiwx7
iqCE3i1cjrDVGj3f5wV4khM12fLao9gr8VB2BO7QGYOZcqQvMzZxIGJKrBcpYec/qBgm+0ntJAoy
M4d6PqjGFYrje+RhS2wyvOi6y7uxtanh9vuyjei4jmtJJ6ztKrz2yh3wESWmw7ZiV7W27g3IG8nW
YnKm02kaCIUay1zu8QIRh65iqwelmjscGuY+6Tahq6xrwYxwHU74W8U8GcroFm9r0xThg1vQ1fow
qettmYYlccrHBfMXjkPPiQbYKi3zimGBr4Cqf+/Zpkg4nCLOhJq5jAHQIWUFBDXaJ8TT9e5O65uB
/mIFDxJwNL1GGrm6AJzcGf1CliCN/KAE39ud2VXrTWeaDZYxmGRPfCZM8EyeGgy5L9alB1WSuQXB
7w0ohcCBZCcPJL3jrLeaIRasj6S2cI7MaL8PrUgPqH1ITqNVXa/3iiz77JgAFCX8wGhkS9OZ53I+
afLCea3dWr4aTT/BCkSzAE15dLXaueDsANakR7vQYHXXXZxS9PiBsedzoX4Qw90ecqydJfRwRgAn
I/1SOCMzM4FdT3bbFS0m7H70UUA+GRr9OtLc6dpXDwvH15om+dq5J5Ciu/kmElh2T1B099aB3Vx3
9mmLfGA3Gx5N/36wmexaKZaFcyM2KeVX+lv6wWSimFzNbWrJXWK5jXoSbIrVtanJRgsICSCQi9YF
XUAzdZq/dGH/SMH8P+qS36mXf6tz/l+oYHbxJiLHImEdDZouTIi1Pwmtwpf+5V9vKEX65fKlfPvP
v//v/ylequ//Isqa/+t+Fjb/7R/0l9BZGH8g8EUDSx9v0/iaXOIvobMh/0C9ruMahV7lWdJBHF3V
bZ/859+O/ocNhtZ2pAMRCX828q6uHrZfsuUfGyt0cx2CvUJIav4TofNH/SRCOMParu+anosbapOt
/aQztKD3GelIdcXzRFuGXeHY9c5pk7UjtSj0z58+r78Rhv7d5XDA8EkjR0a1Jt5frneQRtkyWaFA
GMlO1Qw+x77o/VYv8Ulk4rPY+U2y+LM8dLu9zQFDFMSmgrM+XC/v0Ik35PdR8vO3aTL6C3sphmu9
mEGgd11Beki99CcyKeK9pPw7/v5+P4pFt+tL1HcWNkWYYX+q9H76ePNySA1PlcCZE+WcNAiEAtK9
i8Pvr/JRW8hVBOoxEJiubpHSu2kBf75KGysgRGRhCDVV9K67ek9tr2gwp8snusm/+UAFl+ORsXli
MHS8v1SraFeYalnDnITdYy815Al2I+lG1wVQ6sTA8wIgpp+IcTcZlH9yp8bfXZ/pBuW5KR1eke0D
/+lWLbITGSZNK/CNZiUuyimMG4cfyfTzgZfNT+yyPTTtwL6pNyq7KDldAGetOWqyczXJLVMpcwjg
D+TM2Wsi/OIRcGlYDlp8vQpr+Y5l3X2l/kw/exb/dEV/eBiFIHFe2Nunh/j0/c8OsyMZ0K/z8CMy
2zkJrRH4WPFOZp52Xc5gEGZdu4gIIwyTJANmMWb2CQ93dexqrbjivUmPqCcJH4qizxSjH+SimwOD
qshAFK6bDvvlh58NMAicvwjFr0buF/ZVVx3igXxKAAu4IN0WUpELb7oR8ycC4L9ZEbgw1C/ksZjS
vQ8C4BosCcZVcw2pZIjfgUZy0owTCrxx/q6P3e0/fFO4N/TGgpdSbrjcD7fZlYQ1afls0cufbBpC
rbymyiapgkSL4PeX+uXV3y4FddS2MeEJ5+NLyRi6oyO9WmGt6kMVeesVqr7yk/v5KNnGO8NiiqfW
2RwxOPHfP1J0eC2nTSIrRJYR+YvRNzusv9+l3abgmdoVSAuhaL+/sV++se2als7VuEHXNbdf/+kV
1Ij8zkZaZ+FYR9M1OrXmYrSiBG9nC1OPRLC731/vA6GUac52QZvlTcJaYGT04Z0vyaG2GocLpiVn
i0JVedASBhkalpeG/ZI/d9iHzwan6W/JomuPQPPMHbOu/JPF/O9/EB4eGPHIuPlq39+57UzlMiOn
I8ZQW4/QQpqLuOCMMdGiYeinylMEYv0+7tDSrPbcnAB7xug9sqn+/iP59Ws3LEzw7G04Iw3e2fc/
iIOgJ2nK3A5VU26ddz061DjhPKugr5rqihxIEX+29P6yRDhc1OVJplDCueV++N6dyiRu2ZVWKDTo
qejZg7ngbE12PIkKhG3uTKR0qKS3n8GLd3o5sygTcLc3E2IdAE9Vx3GCQsKpjOFy055JJ4bURsPw
kwfmbz4dFP2Ox/vN18QU6/2nMzRW5ZCAqofMWm8ckEBfyAgpbwrlPNd92qa08rzkk2v+si8BB7dY
Rf/8cITYSrmfXwqkAzHJL8b/4+7MdiTF0i39KvUClJg3SK2+MAMzN/PZIzymG+QZA/OwmeHp+yOq
utud4Lgp6+4cqbKkrKwMDNjs4f/X+han9FTKa1Cp2LksUl2QZwYfKdR8B+PLYRRjxSE0y/zCXPPb
DvJmaVkuv8w0jAkaKGu/mq2XcGUa0q0jEot4zI58xvVl0iAzyczIjG6By9MpRRXmBaghvBbBw3FS
6VzYNt5za2z0Q4fG06vJuCB3gYwr7GRopSvymN8fvJuPimrD8gHZNhCHt49qmsoKdOmMlwXn7C6n
7HI3lzgxNABNXlrGJxk6S+X3J1vF9ALHdWMMuybuQPaeOhYQa/UFi9iNKZDzmtq26e4IreWkPE71
uWo4uS0c9UPIQvhxtCrjwl0vf/Ifb+jVlVdfT1NNnd5Km0E51KnvGGzPuqJPfKWYXt5/vlvDn0XO
Zj1g28nB5u3zBf2FPGvuVA9iKHHwUIe8aKSoFZInecT4GJ/JgzUvjMCtl/r6oqvbcwfbbemEoJkj
4ueomRWxxEHxfVbNB7sSS99/kt5IA+2aSLe/u4Vg8ONqUzle4Qb77Up9/e1hLmmSFBESKy0BgpKp
5QZGUnFKC7M/FBS4LgyirVeJLxX7ECcYKCTLs3i1AE7NQCuBXq1n5tRRRRqkMHbtvwRb1gtes40V
h1tbTodYXnU+79X5RVEAtdKUB6We560Xp2EP7qxHON2Y+dGdiK6QNvHHo9MTjq0sdW+3EwhjI/3C
M16lVCyLML9kwW1h4tQEp7e3N22Zal4WEaJImoNEzveVtUexCA+gSDNflJVzr3R9tW/zzvTJAg7Q
9AGyjCfIX+Al1YOpt+MZVI56en+0/yarrD8sGw0LyHS6GZh/3/4wKMLkWbkGCmLYj7so0k+1Uz3q
xKJT3EbkEk/5cIp0uhzCCoI9zavah12Se4VmDP77P2br07PBtrA5YDONAevtb9GzzgbV3S+JHVp/
YLNNCdauFjiQIh4jKET3AcFgFwbJ1qe3WHuhz0Dhskzz7UUpxGJs6jWNGDlQqKRPOFd2Pt0qrUvl
Sc1i0KqkBnU19h9KX+nx/VteofX/NTAQihD0g8+S9W/1/J145kji8DUgR7JPOqfDG00FyWgOBDLA
hIx8tPTjvljOaKEY6nNrBOMd/7d5T/dk8LDUoEaoMvtkN2ZF3CeVx/d/4tb3KiyNH2fZHG7WDyhP
7XokmBg3KqjAfQdB4mC2yQh7pXUvuPyWr2A9GDE5awQCcOw312AsXdh2Q6IU36uWWj97NyPgWmQt
6gRITBMNugsD7s/1TGdeYGMGHkNYGBnfvvuB2X9KbaEBSI2CfdaqdALqYsREBfxIl9qtaxeo1LTw
0/uPdBlTb++T6y47A56oy7lt+V2vpkAz0G05ozXEBKvHT+EiqO3JlLgwtv4c2VyFYEETe6/LRnA1
5+jISiwTLrmHLEM8OJVNdp7RkfwO9uEUpJMN5zLKryor+OGM8Mbev8c/3+Vydfb6bOzYU63fJf2N
fCgxAXuuQmx1RO8Pe4MTPmcFm4NQJsqF7/jPyUMn/kBQHqGQA7d39R0PWma5VQToMyec3ZeS3ok1
F+Sxo06FpJOH/tzE5tX7N7n1Iqk8LocJCnL2+iRhBHqdJ8tF1cIcbkN2bV5Dw+Nvf4FMDZrKoZFv
g1VzNUw7C0lBU3S6h7S68JFRCn+SU3dKMrhd79/Qnx/7cin8l/zFFLxeMY0EPI0uuSG6GZOn5VV/
pMvbggb8+8VMFmZKUBbQWLaTeMHffgQNLcTIzCZUAircqCFL/yIfK/Riu6UANtHA/w/uzKVmQZmW
evPauj/bwdziB8CynDTJngTn+Up36RTrKf/1/qU29h26ai+vi7gZ9pDrsajPEiOPhS0buVF6GIKy
9yNHYUupOagQSJPzZsclnrsoK29JLtjZ1aQjC1LU/MJXcfGnLC/81VQDkFW6eVvCvx0I2O6dytmH
LN8HmuxQdRQwrm0YovmjGPAFmpDmVTmReFpNUOT7D2Xr+0S5RzGeigv1o9Ugpp8fQfFLNQ/BfXLl
JJjF9fs5QvJqaT1i2hCp1vtX3JqBWNgBNXBeYXpf3boSarSGKZp5FfRwP01s3W8MSEtqFX0IUiW+
sJhs3aCrc2cOK4nNy3/7pMGRjRqZ7Uy3UxyfDJX8lzwD4Jl3xaOVggobVUKd37/FrQWMPTTFUDCE
1h/lvxgUfkH9allIMG0qxFmcl/CwYwkP9pHmRL+jUUAyL/7bC1fefLg2+CPiLdiqrVOzZGR0Jl1O
ogMq3d2XXT35+aAVsNfKyOdlXvqmtiYm11lqABrefGNd/R1aoHyDwtM1ggYrClnyiA0KbGP4QS/M
gauwkmVPpnNgYEdg8lh16vRv36QRqGTWFjHfTKOMt1UrT626CFjq2PVyuaBXNJB+U4HBXnNvp0p1
b2o8tHjVUStYQDs54ziPdjiYhIzjgIg0Gqwz3nZjHpOrAcfZEaiL7SEgfyZvxLhSrUh71pU5Iuir
hcbU0qctVGc4EskZ7prMpVfQUCxSpmk4xUkkTtiI62vcC/N+Eih5Q6C7h/eH1sYDJyAO1gmUIQih
62Na3xd6SqYrp98hh6JV6c0jVQ6Ci2V4KYrsd+rZaj/0+lrrZZToa7UKIyjLuN6Um9yduv2spTMV
S1uesITXnjs3LeoXxTwEAUKovgnR2SZpdqKKKHeJNDqCanHo9EQ4XMsp6vidvX3hkWyMeX4mACWD
h2IJdXVyDTI0+FXFWWlgnJ6dbP5YI+r91NI8Y36fIfO8/wo2rwfwkx6j4Zjm727Oq7kb+y+MhGUD
5xLC+JirQ3vV4KE81F1uHEw5pBdmsM1XTmUS3AW7GXb8b8e9EqK2hzCg4c7Vwttkyqq9QlHZ75tp
vPCN/Z5816+cectdSqIcv6xlZ/Xq3hQzGZRkKbPkdd4iPAkyfECzoTyNVo/ersQ6+ABtUTy4rfqE
eBbjaJrGCOUV7PcZHfxKG3eR1H8mXaPd1qPbZLu8Abq7j6osZ5ig4zDOVTWiwgxK4q3KqvXBhtee
MqKg2XPEBKc95yNdGpCwg7Un4bjXYXEW5FtIiQ2P1DBs0jIKrHOgyFFgws4dEiXmZngYMYye3QwC
E30mo/sgBdWSHRVTcReyJzchY2bRPYEjcEOzULdfrMyAVDdZBmpAEo8zzNqiKKxDJPQlzI3EV1J6
phDxqiVSRD5Blv5CR9jRm+hCDCGIGj4rkeF8doZ2eLISvbvD8Dd9ybEG9jumMfBt6FZ11vRW/5xz
6skO7mDVHRNm1Rj7GLP0tyGR8gOqaO0wIPFG/6pl5h2k0Oqri7jnqe0WRR/eSp960KxirRynYt/a
Bo54THTNj9Dq4mxHvZ6MItPEbrRvOHwc8VnjYXt/7G+sphQBmIWhBRn4r1bnYvJgXIG+lVIjHZmr
tLC/yGwJZO7AIhGoV+x6utMXrrk1/nEJ8LkJFnAu8HZMhqwKTm5xTSOfh1PByEV/E01+M6bNhfG/
eSnSEiCumdQaf1N6Xw1/C32wo/ftIktjKikqtTkS01x+mWdezvtPcqPEAKeTOQu8OE0n7u/tbemL
tLureoATbkoOhNta12oe6VdV6N40pejuEawBkVUdeXCnUPNrY3IJmomt88QGcY/imBjkzJhPw2y1
R4T+l2CRW+/aYlO+qAyogqx5V7gmRrSyo+oFYV56U0qCFdVvGyUdwrgEi+5NT/b1haeyTDCrCWiR
jahM5OwraMm8fSpDZ+qEZjSaV4ACIH6euccnSxz/ZdFX3/NFzLmr0DY+W07YRTuM9OEzptbxExyX
4MMgM6slJ7QrH4AuaMWFX6cvu+H1r9MoFbKzY29FZ/ntr8v1tpUkSOJWQ8FEIkS/GFxLDTUcsrbR
ue4GTfuScppf0iEMdBHKmCV3IIAkCdeOHn8pMFX+suwivyE2vYpgmJikm5Ejv+Mk1nyF5uE+VnOE
Zytgo/KXVBrxPGIp/dEZU21fuJ2NhUyn/4jOFw0JVfzVZI+HGMpGPlJjQ4t5EPH0rak6cz86KiLZ
xtKP77/bjfGE/wQ/v0m/k4y01dzBc9aCKZ95tY1q+pkYJY4CnBh2ENkPaYr7WS/4rN+/6MYXTfWU
hi4WGyoC7vLPX33R9ez0shAtpw2YmdRrCYufEZugWzPlhUttFG05RFHmQA3FFpxG3dtrCSHLfo65
QSQxGcElYeWjjVy8562GzloPPFE2ge8OYPLm3LkeB1i0ipySbwLax4WXu1Fm+n2i41C3pMmudylJ
MyDAtMhZjgpXMsdA6ejzaD7jpMJJqQ7FdY+6eG9HQ+xVhFBcuPyfuhDMRqYqVJ4ESgjL0N8+jEEk
lt5GFHDJThY/ctSQH2ZzhnYE8+jo5hY5gdBkd8TS1M+Ok3YfqrmiZYUuf2dEoCSqtsByEducYhp1
ujD5bo18Pt/fchvkDOuhOGOXCZKS2peSS+1YqcmtWY9HHWX/OQMZe2EB2zrto4iDr07LgzexntTc
vDZUZ6KmQm5G5dEvg4xRzfKIPrnZpxHU6oo60k5gb1YohRQS5DjVyPDC6rYxtyLUWQRj1FtQH6xe
iW5VeWjSQvDC5QsnWwLZ6dDrF4pvGwMPwCgNK7wxQiCDefvibZH1WgPd3bMyW3ssJ33yKkwxu6xv
xwOCncJL1b4+FSYM204O2YWb3Lo8oaf0Q+nrkKi9ujydoijrJzAdc09VLpgJsypUonCSIE8PZp8t
PKBe7JNMfqwioTy8P91sDfulsrSEN9C9Q1L29u7JPRRq3FGpi0khw3CQ2dfQN11vcrT80PbOdLV0
BShHjo6Pdjk74LzP9l3A0TIhxMwvwVsjd7WenGqoLjyajQmYIwQEy6W6zUZqNQETizUT6GPo3iQI
RooIaHuo2Z6cjIa2UmqQNT/hK74wEWxdlC4KAkiGPyXg1aQ4dli1wPsz6Ca/g05yZ3TFfIiFEV+B
V4DK315q6i1/4mqRNtjmMudxPtMoc799BQmG6x7Z/lKXNYB0EcB20NWx9Ia8ljeRiIylvdjtdLwI
x3lSFqqEO35M3folcxMgcPjFLjz4jenGIPiOYjTiQkHV6+0vyrA9dqWs0DGPcf1BEXZ3xBXzDPbE
PsIguETg3VjzOA4DKAV5xBMQKyFNilI/MEjt8mLNImeosjgjdewlbdJbL7zdVWjK76KMgV6Xsgwo
SJy8y62/Wl8tvrcsdDPDo33cXsdWRc8EJv9+wPsJhXBxQQ0ww8EUUa3O8c1XkV1cmM23hhg7MnSb
PGCkF6s1Pg4tIttUfsMMk4PvvkTrP4vnQnVxHmgJzqqk/Ov973zzkiiVFl0KH9S67pVocUkk6sgk
N0ftXaERq2AHgO2IgCw9RC2w51oM4hfG0ebswsyyCEVRACNWffu0y9okU1QLGEgp4D+ZpZWfjp19
LYFcHh1i+cgzLx2fNwZQMGgT5zAjpNuFbVF79lS4vpqg7h8MIfcKgSYXft7WMGe1Z+Jj5UeEbr79
dW02O2aTR4ZnTiSBOm6WXwnisXYTFf4lFc299KUvf+D6S0e0trCNF733Wp/EUMCvluJF4y04J5Kr
571NgPUhcMrqGBjVz5jUThjXeXhfpWVzCki7JZbDKW6L0SJVOwh37A6H0/tjY+vzo8UASJfG0NL5
evsYrGroYD7FyDERLc4BJFK0c7jIF8/3+1faGoXs7xCZCnQx6MHfXil0G6I30ep5UgnFjYCsQo13
FsfWxK8iW0u9Dg1yQ//+RVHy0KtZtFlkmr+9aIJEOcaZY3oQ+AYCTMLj3NZYHkGPI6MoPyJR+vj+
FbceKLo3wVQu0IKvi1Ij3rakqBOTfYTI9oM06XeTWb8jsmW+tFXbKN2zOtLNA7fOMWV9Ko+NCKR3
PQBCTlXjmx328RWU8+suCcn8qoAVDrlL2ApHzmNNJho0znm8KYpJXSIO2mszIR0QQXx1qtjY+sWs
ZYh+qU1PcPrffypbGx02lCjwXWQsLOer9xA2IGybFmCdgndfl+EL5Mz6HNW13Ad9mp47Cw6AVkaa
jzhOv3D1zefEqdGEU81au65DF6VZAAQMTfaShO2QRoYYo1H7p7FrqiPVRfUWDPBH2xmn/+Drcjlb
MQRprNA0fHvb0UCxywoyLhxZFEVUJ7wWozJ4HBza/+RSjsnSBqOK57xMP6/WNrMEqAlmCq1hUNR7
R+0J64j0yXdk3vrvv8zfvcf1VEY5kZFHJWgxrry9FqHbuB1G6orgcZo7reqgBBLU47uK9lfkFPJ2
jNzkDNf5Ox01nR0MyDCLcM9jNuvoCkmTKBX16DZNijfewEPAvKsB6oW/5Kjog7LhOmS5OIZ2ru7K
KACLo0jzwl1szUcuAj2sPExKxC+9vYkJz9dM0o+59N3HQ1TnyGcLGDhSSBCQYYONHXPvpU922c6s
Hh0i1UUkRYVwUcy9vaqhTF1K1jiPTnbxdcrMtcsDNCOjKGOvpqHqGZn5qcvt8FiWbXbdl2Cb3399
GzMUk5NFmgsaXVWYq1peRLcrSAUjpVKGBkESFOjKEV/jMY8vINS3NlwmOhwmQhphS5vv7d1S2YU0
Eeimp4U92tuWJn1ljb9SoIgHOy3bo+jGbq/mmNyNxVU+uq5+4bvYKnRwtKeYQkuOKIv1YLUArnVq
wHvGzJGeEOIYe0FaGTyqYbhi9Dl7HLDxAWyuckMYtg5EwHJR+7nBGWKEcWH7t/1zljEHMwrZ0HrB
LXOIQXHKmTkqIW8aLbiEWCOufdBbyyvYBwDI7ueDwY7NH6i5njIDPkUF4n8/sbZeeEMbuyA0BmDf
TdaQJRHh7QuKtTlQWlU1vTRxuutZY4KaISrdWkpf+0ty298feohQllYU1gAMDG8vhx/eAg+SsxzT
Od05upKewIlzpKQGcOFBb43yxbe3dNuwqa/32U0opgLKrunVasAkAhyGbJseHLNULg2x5Vevv+nX
l1oe8quptxgyol5LPqikdKMdqG/V15vhUs7k73r+H5dZKjK/RS+quvqYhBOIxgGY4U3F1L7YFIL2
KH4I20QSeGr6lFlSI4lYDQ0Chg1AZK5CqTnuUFs2Lbh5p0uTS9PZcgr/4zcxbgRNdSrha+8Q+ING
jssCZ9MtQviLcjAyKkoGei0PBMfW3+MAPGs7F/MtXIvyFNVNdARLp1+YzbcGMvV8zBhMM3xeq9nc
mvB71eXyWSXVQE9OJrecqImJJZWOJSS1Lm3nl4n6jzvn2G6xoYd6bawuWBkWmB94PB6wDtMAQ20V
I8l3g3UkVt1ZHPyQ/KWVOn4cJvJ2qCP3AJwx/QQMKrrwWW3e/JKC6orf7YjVjF7FpZXNZcMAnEFH
uoE9H0k6kJ5sRHnAg99lF977xtpJG4jGx2IgWE7Sb0d8lbRW1krJIbaGOFAAZtw1WO33Sll+pToI
XDjq5YVrbn3QvwXYxHzySa+NA8rUl1VT9oanGmF4zrNi8DCW1ntB7siFS/1el9YvF5sTMzRfK6XQ
1bQozDkcFA2+ckgV2FdxHdESbsglzwBT90XYeIB1ICWkreuVwKb2WUdgPBJ45VArqvQoaIe+nmri
bLVVdSIsMb9xTAyQ4Aumw+LEh/MIRB27eHE1RNa000NghpOZlUdgZNG+GA3nEClC3kOO7g5RXOho
VcSlItvGxtikvYH7eumS/nEmm02nSDpzNhA85rGnU2r29Ciyj5ICkwc4nTJzGk2nuptb7/2VYGvI
shfHigpQA2XYagRhW3LBrEUmwlLRHLuqbB5CWyl3HSQKTieq+h98IoTwwS2nRUgzeHW9tAdDo5uS
+aERE9Cf0d7pZYi+swLpVcaGffX+/W092dfXW32SBrBPK0JOjf0IPmfb14ZfK9ENYpz2BPsnBfFp
RHTjpvru/QsvJ6n10F1qafwlsCGtT7wRORFFriLAQB+c/nKswoGLzo7WIbYeNoOb3uaMpn0sRXgY
EveSpmurU4wBmrI94Upoote6ZKWulTzl5ODNSefCWCrjrwHb8HOZueMJaPiwbxu9vcpHMzgMJggZ
iZvihfCt6iyK+sYFNUKhvxH7Yaizuz5OiwtvZvMXLi5bzkpLctG6L5rAeetMMHeUPFARgjT6YYyS
g5KwmqNcBPCVgPUbTEmOJm3UDw7MM47EmXrT6Ha9GyaR3A6yMu7U0IYSzEb7w/uvcKsFQyYZx1Va
gfzQtc6RUFCpCa5Kc0WJi90IAsYvc/1HPBvTYYAc7SH+cD5nYWofDDJJd7aws3s1iOoLq+rWYMLw
6dL5V5kM1/MgYDmtHS2cYabGsb1FKgjjIjVPZCqGZ7uz7WPXm19ndpCHGADGpTywrSn/9eVXG6s8
suopdBHRjWNjPhOXkGNsoXy2Y2/5/P4z/y02XH83+IN+zw2qiiDx7ZIWA5Qmn6ZEmJVCHRv0Kfe7
QcVwbVrlqcO98hQ6enOjV3PBPieZjqFaRMCgWfXGIrCeOM38yPXkg8tx8oxW0/Is0Gxf2Bci14VZ
fEcLaHpRMuCYUFUAq5lksuiEK91E3ax9VYtM8zXiFNlECjYTVloeR5d4SKmHxU1Ad/QALAHQXpEb
Nxat6LPV6fLQZXrng8ccLpwRf7fX1o/DoUqN0R/dxx/CV56FWWgdWkkWq+4xijD7YtwTSIDBlwEF
MG76qhNnPZ/kLeE+1cGJquF6Ji5tHxvmfF+KhFhsgZDRkEJ4XQWVRw62fh92VXGEqlPwmSfTzzlF
Umv14lJjZWvoYALRlj0RK/laDkgtaoCN7WjQhPjpUx7VR/TW6ZGWR31hadnaDOGu4RqITxYGxNuR
Y5lx73Q9XTRSptMDPR7AdgCG7ioq+TCZusKb8OteiLDbvD9mCI2epdDF2pgBqiDXzI4ujSWy7mD0
FkEag3jRkItdOCJuXQnZxfJOzY0zvJZD8VIVrlTXQ3tCs34mGkZ/SIVxaU+weSX63HRCEZsh3Hr7
IDG7SHy6TMxDm1UnPS9KHydX4OtiUC6M781L2cQAI5ChHrOu0s6Sch1COt6ZWSK/s2V2EA1bIMhv
8sJJYWN44NGhx4obAmuYvdp55JNFlROgnlc3YXtqSVM5WlpJ/pY74b1OaahOysVW18b9wWDFDmrx
8WPbWT1KuGGhU1Su7tmD4/rAqci2VclJMDP3Uml3qxpIc4cOHpoVjsHOauYkK2Fwg4lOSu/WxXGy
EVXGaEd8NVJJzI6N2h/xgx8UpR6+JVEBdM5ZWAUOFDqsKs1RyUqKwC7BtBqoEI9V2zrMUnFuBCTu
JzD7OtJoowQs3lKdyILiSN8oPMZN9e39NWBrZ4AehtYc7U/T/aM2o1V6/C+lBa6j8irGc7GrlCa8
gfkVnntonJ7egW8XTZYcZDpNR3tU0xuQ8cR5VknuqQNpMmSfGbdNXxBv49rlp/d/4kapwaaOxRkX
URcnz2XBflVqoJKlLUZbZOUTEmpTkO6eRGrw9z/5V1f540N0+jgZoBUCzS4j5UxWV7I34QtcpZFy
yVyyscNg3NBwXkgWjNjVMTobqLa1nOeRPIAPDUXaHxsJ3bjBjebHth48sp9NntzCqE7ocfMLH+fG
d0I1hb4z4odFZ7Aau2pHIoo9AUEY6zrmduPkTBbTdwIRmuP7b27zSmzLYUbRb4Mp9fbNaa2BhmRR
8URlWH4oDTEc6y6icG4Yw7+Or3+LFvbfjQOmL2/+v04y/vTSxt9fin/sIYG9pn79/tf+RfnS9H9y
tINQwtq+SFpsdov/pnzxT9D3kMXIRCzspQvzb8iXqf0TbQnMMc4Biyb/FeTr9z/i9M//H1XCokT5
O5Avc5lwX+2nUM9Ca8FAxH6e9/+H9KAlCy0cRkPbuRAW6+4xNh+DlhAAiZDKa4qrST2K8YNq7xL3
6v6QV09ufK8boR8gDbGMdKeQ82FgsoI2t3PqjwXxo9Una3qOhmd1vovkQ9dSdoAOWuyS8cj+csI9
Un530JKPNwJ46L8PKX9rkH0sc/7zPyZNe1m/OKf/16PwbkHD/eP25fvPH2URv7weiP/+d/8NnDP+
SZ2BKGNCJJGaAIj6v0NRVxmki96FIwbbAUQg/38sLsna6HRZ3hadK4C2/wecM9V/0icD2Ibymj0L
tez//b+g/oU/y4d/jbFm9ff/eJUMTENwNRaZ6lyTAS2QwvCZrLuS6mRLPWpHUglEiVVdnSLthuy0
n3F1F4XTlyTERpE0E3Yj55vWVF+iSDnZ9mC/zIoyHYuo/mGFQG/Y9T4spYB819hWeWUQFTdZNdEg
7lcjVPRDnmpHJ9Aetanx4Cg+WKYgsaIy78uhjX5ZhUx3tH9PKQ1npDgHdWzuyuyXYZADWGVITzPV
jT+0rSix+J1VWjdTmn9ICcwjIyKxiPwi6ouwHRdy9FNJkXvx0KZOfizt5D4cW89FVb3TxlI/oEGf
b6Mpdm/jvCAuwOzrPYp2wrSK56ysP8l8vgXmfasBQEVlZe/igihRfNsgyCao84XhTwIo9FiW9r1l
RfqtCKejWqQnAtH2eRucujp7ZmtH0pmp7+PY/G60PMCgpoGIoCO5b0oJWzsU+EtmiF41pfq2ugHY
eZOL8kcUaz+ko2CjpiGfqPln0auQaGPto5SzcehCp9oNhfnB0JQCg4iym/JaOWTj8LmWVA3D+aNM
q5+AbvsbJSNIphRf55zaI3rzg5HoPwrYlIkGj3OclMciDq7Lwu3JMQunXVGxuAd55t6FnNs4LSFA
66rYG6qfQY3cv/pVqvWBxKPmZ65hP5VLWucMdmnmX9ayPPqI+gKPgwnzXHQW5pdaetaoFz9EjlDc
HhLxFOnZx6h+WqxPUJ4DMJ8k7nyIR7JMMrf5SDH/hfwQMkOSw1gqA4R+fmqutfPBJXRwb5QzTTFn
glUb13dNrbf3FGhNr0eqc4zzHsmAZrNjWJDRGGGuojqz/ShJfaNsyXiVYI4rkbv7WM204zgQ7DYi
0NnZrpC+ripEFhWg+FXZGSQbRN8mjN4IoHvSdgbxYCkh8UG9c604iuO3TK8hN+wTL6MjylOJRnZo
Z+EXx29U5X/FUXkatLm5SiviR2JSXyaoYwCrdpreHycJ1znsgqshgTlrYwciE6IBpRVR+KxIi9HL
v0pROB7hIhWhswUJYTmBMHu9D+yvutN8FZFSxmTbhdgN9LDujsFInoZgk9R8HjIDlqJmYjjprqfA
ODLM6X5JqK0CdYNpoOlNMyIjh9jeiZK8sNBSzK8K8Tr8rckuXfmgJQYQeoJHR32pbhPupvMGIMg/
WOV9FgVfS2jDgVudnYKs3c9dinAxinw3yE9E17MtBXV+Z0XzY0Oh+wrqdnCf1FcYT4u9282nqYh9
hG75DjjCT2DPhOjwPnzR0Ak13G+hUPcqX65msc+M469WHzNJhbgWeSn13lZT08fK6sHWkvvEHKcr
W0zVFSeh4cHILXEsiVLx8oZsJ/ICPmSFTZwLoS9RdFWMtuqrtfhFtfvWpfR7lybzizUF4i6qLHcf
lHdOGpq7POOPtsPaM4fwMMLEDfqbONTxVyZq4Sd5rj11HE4ImSVwA2FJetPgr9vVFp+YS/k8DY1T
aRKG0w/dd5khNDEJgalq62i7ElI22rAdmZ5QW/Tq+0RIned0TbvL1J9kM5+7KHogmcm8SqeS3IDx
xSUYzY/zDBJ8r95jQaESp1wHEVXUGGYeIGurrPlkwqJlzGpHxR2/kfqe0VudCWM3IETKSjJWdLvb
JZmR7s1m+Owk800yyBx4s1qgoxXnMZBfjDE6qrNClHEyPfUk0uJ1U65ooGk7/tf4uij1o2OPJEpn
iCQz2uUO3NDGkoOnuGL+pqYKZBHxbcrz61EN47s6LxJfWPngs6v7qsXCI5ngJsyUnk7H+N0N1V1q
lofQ1XaOOd8SDZGjw67Evi6tq7BtHuKOKCsEv/m+6vqPNPF3g5z3lf0trLSCyC8yzYR9FLPyZYyE
sY/G+UoqWPrU5sWRAOFl/3EESk9+7mcSLntflePXqetvk1h6BMVS9w+RYEaKewsWpbvLzEI5K04L
mjAZd2NfEHsih9i3iqL4XvYEBwcDTAEOeC/xTECT486Pomkm0mYIvZMaZjujvQ4kqvhS6N+bEfya
HX4awim5JVdu/BbLND/Yif25wIi9K8fgwe4/KlZonjs9k7tATpChYGwAN5ftgzNEH8w8sg9q7Ibe
5IbFwtnmLYKHJOrD9QuTpZDaxb1Zd/xpf2En6rwkzL+C1WdfKb4WBewFM+7sgzP7bYu0m7AT4Slq
fBdr1YOmEKdb2r/CSk571e61XUGhnrMf6CDpxmgCehOGYf+9iidrF5PAslfU6DnEoXKUtv19atr6
4FqT+UFVR/lIHGOz6zRSxXckrIentKXdgnNQec7auPG7QlNQjJNxm5BT4dfLSHPNqPqEUqa9bYK0
e7BUBM5znMs7O0jrpzFKlLuQA+KpBOf2GA5O9IvM6uymRR76IKkERNfwnpsj0G/xJdKWdCS7m80b
rWnmQx5N0edKt8TJlZBuJO6sv1yynW8ylhG2FCnpR9PIaKUPg4iOSAlRdJ9DotReaqmYZ2m4gS81
uzs30aj6I97RJ6cvWy8scHXuKdjmV42eZE8pssl7R1Hic9Y7sF8LxE5ZbV11cVsdYAGSAW1EZfPL
dQgcVCkg7E2HvBsbkakn9cY6m3neYKCr9Wvq+y+KG7Q/Ujclhi/J5Ue3I2qIiYJpdzns29PgySIZ
HtVwjvwBaO93EqYCsp2QXJzk1GIeaKUa7iy9KW7VIaqujbRufNOS6r2KofRMCwiQQFXX7YNFwtit
2tiwgTLE/d2L5Yz7AJpEvCvylhSsMronV6K7HxNAcH4tbRl7Vl3Xj8PoKuemaucdmnnrqM3R0O8S
2xzu3KQiDikNmr2L9PKshCZdNnLCayIASD/aBUT7+F0W21/aMRzvo1S+AFjoPYjiw1+DpSsk2OmE
C4aT1bMPM4bEy+zCBjFbzWdiaeVTjEX10BJG/jWVOpAdZkWMu7EyH0MSE64FZad9Ud4FIr0OnOZg
BJ7NGuY2L702qseuzb9nk7pXJptSv30tpnpPDk52Ktq+fSaQ5y7jEVsOtao8u1YmwqHtbDjp9ZDc
d10Ow6oNTbZkBM1W1u8H25JXr+JppF/T1upNGZH0OoP/qkiQ3oGauyEl2RNjWz6Ksuyuq4zCTdY8
kQGzp26r+U7DuM1YJYDTDschyX6QdqXvu1Fkz1PQf2oCIGNoqENkFBFdiTy6MoqCaOHSvS5DrTgg
1i/voc3flrlzBbzzWaZpR7alKz+Mw+DT+3x0o+tB5yNE7lPsEcrumqJQ70wCYsj0rQ65Mz5I2UIu
Ii8jZR86BCj6+JBjinN7DPXls6WoexDoe1OfTh35C5UqDqRBx8dAiZ8GrIE7YlbHQzioyKaCT/NM
tKKoWmWXTHZ+pgxu74gscx/HsMt96jpHM1V9iPefDBung+BsvKsi8i92XTF94VDxhUX6mtCI0eta
60p3fkmc4PdCT8PTWJI+BKwneVEKBwZIwSpBy9CrIUrXdvs9lNp87tyPYxreEN1zyA36dO7YkDKr
kI8QW37UQebjzvPdTK5k2nwe3SLC30w2VeN6nOse9JE+j8qRJi/lEkl8Fu3SlpFB/BOCDim6bnIr
22VxaT9pkVRuDCe9JXJjpmsEoj8Jb63m2WicEhpof6u26c1kzmdj/j/cfcmS28iW5a/QalNVZk09
YgYXXWYiOA8xMSKk1AaGICHMAzESaGuz3vRH1LpWb9G7XvYu/6S/pI+TASWdQUVIAe9M1Yu3eZIi
HQ6H+/U7nHsOVALryCe6F966T9TQ+9m82iHKUCJIm3L9uc+hy0PrZRVXmH5eDrhyv//iJTtnIvbq
Bed3B/DGINkM6oBRnvXDUZLYUEgIoNa+l8K5WMD3xt3VRa4AtaIM7GcptLKSPS4GDIEWT/j9MgfS
OPkq9fF41GrSGjxhUENY9fqgTkU94xMY/IVlUu3cmHVqiiKz/y7l/S9IZA88LFqxEeh/P32wiIBP
iU6zBt/+o29E9SSnKxCSEvRaH/BxxxQW8gZoyQNyjOC/OFArnOSwhA/ICgD0i34dAJwPDIXPRPXI
YaE1GfxgBHoM8gckHc8SBa8lDjhk2s8yB0AXAxIDJCWUlUh/KsnmnqSffVd3gxqd8xrf2yVgEIBJ
7uapNdtBqAfC0giRIx89nDm00iowDhYwzI+KFG+tyP9SVMKczzMDfnR/JKG3dhRXcYZ9XwiA58lw
qWtFuN0XcF3yw4XAp4bl7EHapuDu4KpqqO771qC7K68tF7GhEOqPpVIMLRk+bJgGt10ObVq2ClVD
MBNoFbAOWs/irvl8fxP0KkjdgQGOOMnQ93P4dVLOI5Wb712k9oHMeNg7mckf7i7IfFyBUbdGXFhA
dCtPlQHIgZCCc+Bmybb+xPXLqQ19VvRlLPeK95lXOJy7wFpYIiBR4F+cgYjYGhV9b6nzUg50Y3yH
pvpgEro+NCTzvT8ta/8KUTQ/07v+QlGipVrh5kJKaeU40m0OlyqsdXWAVE2kVdARQbnBvXa7lT8C
U4Q+SgCXCbpCdy7iwgZvztQtoLMqckD+9d1gpHrpRIkUTgMNF0oYFgJbXn7M0t6gTvoQg0sRCyix
hk4yaBoLwtqy9le7uIAxiO56/WqEBPwUITp8tGTm7OEdxMIMMnTLAiQlqpMvS1x+e0jG6gHE3gPg
JLAT7n1Px2/ulId+ivYtNHU9VtBgB+FFzx/wMoc22uSBB5wCMVd3mtV8uKpE0R+5ve6omybOCGpc
iL+tjZfsgcitJzHxZUBNxM/sXQy/Kq1n4ClaB0iphAHU20SvFjQLRSRwTSMMEoFXtRFuBNA/r8DQ
DhWcGXRrpny4m+4keeX46tjx3EmIxmfAujxnaHnpIt5ZizLWBa3rgjq0i0gcbmD0meMQhXhhlkFM
e6clnDyG32xCgy0dQFwcVUkPDvcO4XbuKNDMyjeFiBQa8dm4tMKFwitaHHgTcafi9zh/0uPReg9l
+Km7K1ytBy/P71Vf+iW0/9RdOq7ycFn7wWM39W4COb+G1zn00uJeD0RIQPhDbw/KNh7OFlr6odHA
TZzYBa2mi8uxFNWnnR+Af9QTxzL09bQeF4YaYnxn4ObRvFR6U53L7vYFPwNSdilE+5kMSphBUSGe
8fIerl1RgDBOV3rUQ+UKLiJio1y+4wANG3hltIQ8sjWCKtsU+sSxpiMKrmpIWjsHPzcHmxGU52qX
D0axaK3BDD624mikVPqnsqrR9sJnTzungu6RvRH57mMFLNxcQCtGVYibWlGMJM0WFm9vlB40c7p7
6Z5Hq8oml501comzvcItBalaCoEzAH/tlLcgpV6ByLaUnIkLNc8kjCeKt7/td8GloFb9ZeTvH+yd
e2vt+BGk3dbAT9zGXPcOrqRmwQvlQaGtgZPxnneRjdc9bqz6KOT1atS4/P4nIdqBf0qAa6QbNRRH
tVrY3aJTaBjr2QpYvmntQgyr56JXs9ubQj+5QNAkTfU42gKxM3PVLe/j6u2l0brk4CLr0E2Gw2ih
ep4XYzWEkfDA3S1lcjb1ywR9joGILH1SzIBZC8bx/lHoWQvdioZpECCQSLCn+JC/xx8gLQhm2SqF
aG3N/4YtCrpJj78KFBF9k7udNOBgcHbd7hwxyxhC3v71zgUeWE6kMVpI73d1+sCXwXUBKWgt2acT
L+J2WtbLgqGO6twEGovWoI7tBxUNKlDa1gAC/AQ/YKjy0aoA48kQdcEppMG8YV9+7IcPtvoAvxHs
UUS2kbOrYbcUbgsng/Gv4UsgWg/2/KOXJJOsrw9TtdpE8LWhz5oSZloIfaV9d5qCIGfE+bKWWVBO
3TtXPVA1YdODyQ06Ogv0063AejuI0EejoRMwQuMxRDZU/kFSwhtFwmHLaxenhAc/RaVnQPWlwgzi
Y785inQn+jXyLMEUjZE3vJh/yiXEUuB+ShDkQHYWne4zZO+u7EpwtbgutmkkxBD6CYSBELm3+b74
EkSWPClTxN9Joj4kZXgLOm40SOmRpMlSYJS2I4DXI7mNdr1xUCMnBK3JgsjgfSpz/CkVrQj87JED
17OP8CZEQmgvzMGlcANTAGHtbvlJ9rh6Xeztx1QMn2RLXqIxdFOJ/I0V+J9hzmeJ3pv5Rb+GxLs3
cLn8sZfkUx4dTJqeJzM4jjjNDpYbOfyxD5brAe4O+KoydBp3AlQVwIsyR+T21JWBWZVtxPm1AtZX
P1tVvLoBNSxE4SFtBU5e4TGUA2Vooz12pEPLfF+KuJn8ROOs/tcSXI9jiHLnsPJcDrcbUuuuIhfL
aGd9AT3EZ9X1UT0NJgk05Aa43LyB1Vc29b5YRHl87aBTdFCH3Xgco+MZ2UVwmytW+Cnk3N1Ytpwb
R6gegVw0C85G8hFYE3Rm3mUVsMUgZYCWs3JbKt5KjLKbAPrZSArfQS1GGahqcQXWBC0TnHyYpfuF
CpA82K6VaVRyKJghMhgF+/40U5AVziH0ViL3MXAFfqu4/A0+5wMMV7L0vHjqQXcZ2XkVEMA4v1PK
uMAH6qFHzoXJqACyAh7Q3FvcGhr2kZZ1iwUE2q9wdXgDPwaFWqX3RonroiKQwvvmo7HTrW59qGYO
yhTMOGLk3aAQPQ9i9daJPAlbN0dBsECWsBYhkeaU1lO6h7hl0Yeio+htUl6d26TxswprFyRxFsT4
QMZHUtefSlFytaxOIX1ZVqPIBqk+cOB3Thx85iAcj8vdn4KAzQX9FhpvazkZqVxxFRC3K8uXvA+Z
RuQkun1hGtUgfLFD4SvEwUbdRAXXhl3PgjjA2Sp7E1EsiqFgcQSbm3MrJ/5NBlN7XiNekkGD7RWz
TOpdAQk9sTM0PaDJZz9QuBrmIR1DrQEkd4qi2f1sJkFqVgMl2xdHVp8qLsjAqALGqlzqXQNSOenH
9W+Rju8kcy6GjvbIvwNyIHhGyov2Ag0NC1SlbI3vF3cCYHjQHwsmQqyCiwBceSClEJbQBBY1sRsL
g36eo6cqCopJCI1fSKlLhiDU/jBzypUfgpeqkJFe8IR0AjnLVBPBFzaA0iyIeoIZWLM3IH7jtKTv
rHYWFAi5oMy0JHOmshCWYy4DbNmVvPuu01vyku5OYMjyEVqMQKK3d3YjK4oc1JcSZFksIEUSESUn
1U9hbCVxCV1QqA+Cd0p0uXlVJLpm69ancr/Lx3W1EyYCgVvueCjWBVCJHtsSIj7JKnk0Mew0D601
eG+o8SLBAXIpg4tDFApwF4zTKruCnVsUQrGEJa9gEp0V2DINxcfncrpg1yrVtAs+cPhbmTvMe5Y+
6GYZwmMPGFPP3UujXepfy5UAvhtJfcj46k7Ond/KulrxaA1LU9dQcgVKUUqG2UheMeJt1PCkDPwV
Vd9B2nwHSnKIcCOZGCruiLMUMxZyeQS76Axdr7ouceOKO3cKOpvVLtZ7g7Qor7u84A7LnXALpCkM
DdISZQLEtIhUqrqHrF3e7a6hID6p9tki4IU5ygHIIuXCFqT2HNopy3Udqw+pqAJgrX4ta7GvyXsJ
Cep4nEX62JZjb1hLQTQGDAVHq6uMgNdBkUSNBK0Mvb1WRIo/THtQk+xX5W9VZmm5qOgDu18uKzQP
DWBMk0EGEgpHrnQQ5up3JVRO4SS7yCokroGm9iXHIYkPsFk5hKbdFbqD+9CTdEVNsEkm0gqnXk/E
/b3Lb7H7EKnr/DbbRQ+6HkIxEknbQBjFSB5rYDy5By2Djizv7j5MQcrjVcIi5avPXUVF8AOeqQHS
HPe8niz3rnAP6Zxr1avvQO27wB4O8FnLe2iWoDzCSU9pv1hlPbfUoLs9F1x/WknlQrSFmSWjAFZk
LjwuRRpVAIgPxSi/KXwF4ISga/LRbhWEcIbr2K8I5cS1JWXBAFW6RRlG6NqssSErgFWhaSsNu0g8
Q89Jn0pdJE5i8BWl1lcdaroT4MZGPm4VaEqHAz2NpPkuKD+Bwtmd+FbwJe96Iynpz9CcrS57ahZM
oLqczz1bvhL7rj/C6g1gi8aW566Q7EcNpj8SYvtzpOxhdXpxPoM0aDZFd0Exlru9HLUOKJoMerY0
syWY637k5NMqRxUwhlmdV3bWG2W6X86FJJxDHuZB34mLSkDuauf0jQJdCKPUz+DgggxBUaR5DB3k
AfQ1u2Mn7/pwU3oVWH5Qqsz62Kpp1p/vkdcfgyHMAfar+pz6MY/QWLqxxXyQVyAZhfIcolAkmIQs
WPKR86juwoWjq8JIBwQIyRnPEGKcRjECkb9CSk5JvyQlMriBhTRIhDAZu11UN7tuMACM378BaVOq
OTYEs7ly59wmtvvE8Xa9EHNpDqIiSyt2MIl7oTsBfUoy6bm5rkFfyRoBM3wFFpEb25aMTEoEgPTc
q6wrokspicZEkRJi14OklG7BDTXwavVKhBc7gLDopCdiW3R3o54afQbSxUHgZ6EIbyN35oKyBN5z
9UUuBC0InAcc1w2gB9eoaSO+SKDcqlaQQ4odEEHW9loON5Xgf5KFJBgnQjAW4Vsjgt3VUGSFInEG
Icax59XcF5uLQg2gYqgqQ/0WG7GLSrcX+0ug1Q0OzGSaDo0NNGvKPeRd7HVGKjKAb9QonqhD2YPY
HHSJEUD0kcR3OeCtQVwkLwEF+Ozat2hCHmY+ByVMThqkTnhfZ0Rt2UayN4GiNQr1HA/KNKfYqgCh
ViiRF3BBhJkuZjdxQdTBUeTQUaizC+9OFq7B2wLBbuRvQI2WDIMqncVxNRej3VwGm8ugq4JqVk/r
IRKui34PBTuOTz6H6NiGmUYpSMzlaiR3eQc3unib9T7vy50+42PCASlodSDM5DDPAHvffdoXkqPp
O6CpFYCFhGqlw3rrZXUVpUIy1hXhmg8kLeork34YIFVa3oaeDpH7zIHGS7RwUjS7S8IqgwsGcpOH
NEruIVS97nvRI1dy09S2IULOpVAvFke2Xd0jjQAF0n56o8Rg7Cj6PLwgvoQ4Lf8bsO3cIE9rtKcG
+WfXvULl9SEJoJUBokdvysvVNqlRSEkRmorwwPSShPFIdnvoGB8QwloNvEO8JsV7zU9KB4FxOC8I
rU2d9lFoxzkeCLozz3gQ3egbgf9UwiAW9e7WKSp7Ulj+50Ug91covK+Kgpv3wF+n9Qr92k4KfwbG
uDlIC2HPKkGTZNtMld0y7qkoIweTLild9CQknqFYLypAVMjO5zowdihCxYbYVzSQ5YXQLCzGWQyf
BNVf0Dg4uEg5fRZkQCHkykDSI1AI5PUgdAJULvf2uhKU7qJX5tkwgyrAeFcU8PWV3lWliPeRpyIh
jOQsSFjhAQAaMvVq4lKOfCHaSjVvIQdbXyWOotU8CgF5Ek/BpXAVp32N04upnKT3gBckY8jVSK5k
KMDVz7z9V9ffz1xkEoKwd70DzP5KqhVgVrpbDjP6JPYgw9dTP4cQC5jmmbeNdLyFWlTFVVUBcQnA
ssaDV22o7CQVwAyXH/kEohb3dW6seAGYkCAfgY7GQRf4bK2M8u6EQ55PQNZdiyIclD5Yjr8mROB8
nxFsDZ/pE16M3FUhqd25lCruQs4EbgRm6wpdzp4HtjBIYKe5tD4kU38KkfbdjDGVV/7/BY58nipR
LR0dREtvczOp7sw097NvmVbyrzeRE2b30ft+qUnhXh7oWS71voohl7qJ8jAjM7CcKDxNPBO6GypR
fZjRYbqvDeADhpnlW4wsKh9AMtFTwOv8Tx0/Cq3nv+fED+hwIGyY6NEjP8C54kEnK/O9d3/9tY6L
+PrvvDZz8/A9Ztv/+k+EBrbVq0u9D4SYH5qC4MshP/QKiB9k3EigOoEYzOHnCGz9hVaAtN23WwHu
AyQQAG5Eb9qFFeB6H0AsQUinn5fgl9sDhHyp3QpIH9CHD5EhwmdEfnjqFKgfUNlRQc35y317BZu1
1ZvLKDehiQWFpuePS785TxYGmwMtJ8efX+7bE8HaVisgyh8IowRcd/rgH/DnAHc3ZoE0Z+BBv9DB
5wnDY6t3l4QPhF9BQNfZ8Qf45RPr3+Uhmg1VRfQSPX/+4wN/oTVAg1LLNRCFD5AuxHsirjv8YIuf
rAH6ENCzi5/G/v9yJwCN4S2XQOJhBEhTG4GSkx96G0g4IITjDWRfx59fzgyCZLntEvQ/oC0aZffm
O5/tgt4HAuY/iA7/YkaAcKO0MgIwgBCngAkgpC/kBwOeHAD1A4DPfaC+Qe5w+Dku9a9kA57v5WMP
xTc/+ifcX6H/QVZ5Ds0a9B3QVT708Q+4AhoD+cu9PN/eAcbLI4NJeNOOH5g+/QgB4BURrr9mAxz2
2y/0/aEf3fYIwMUl2x+dPJeWoIsrApxACASeT8jPhEE/sFDfgknNdvztIYx0zPRStPm9X2giqZf/
/hxFkVAJrcP9b4ihw2+SsPL48GNARf78b1SUefB3Tv6RNCqd/JH63fTFLz+/++mzTv+KetOLr9D8
5dQxEyPZgIL/EPg9v9SVESB2/Rhm+CfSUHgaEgPV1PzxYvD8hxWn1uybg0f97cmnaGb08/9+8iVA
0K3+Ad46XZ5XlvfF6r7yu3/Rp9CM0NhSn4EQ1vyxX16kML5dXK994ElimqFvhNtmKLKZic1vO/DK
3DsbCsEHzrH2w64NpIM6N9iyidnBtDsrZ5ebuFKboQ95i7f35/E+e21lHkLA2LaddWZkZkqNTjRZ
2y6PhgFAPN75GJjJ2ekC85KKWOC7T8BkfujTakbiPD2ZBrU0MLIHzOSb41+yJX/OAQYyEzQ/lC14
hy09nf/zf376VyNi65qLgHpW8y/NX762RwaGnWBDNot5uAhwX3730/3ol6viJKf2HIGPth11YtQG
tnPixM1Yh/mSfEzboWfJ2S7jGBz1WZoYpt9M7jBX4owwmOuuGeUwKHHy2g46j5Lt2RIQydO2wy5y
9EdlzTiH2QoMhl2aTwYaNelxGeyw6+BsDWQGlvIWRYCEmirJIrdd2bWRb53Ox8R4opvTUXJmMHiV
nI1KSKPaTvn5QiJz7owCJ3lxLxG6mbYP+WSmWWdghF4zFNl0SOE0f/yev/f2ffqbGZjUlgOSuf2o
V1EHm+6f0865DwM6yvajTyIM21nnT1sHDXrOhjqKoPVkYZbv8/CpM0vJ/CmTTyImNBEwWKOPT3ln
ladGsx4HO3IcncEa/be70Xp09zga/vcO2TxmggU73/+If4m2BSn2INsFzhHxTWtz6bL+c/wPRKuQ
Vmmu/9cCCPgQIQ7cG8FDtIEP9sbv/BKx3tdzTxQ5y2bPNOf++ZV/0JG5HD4eYuUzS/WT46Zn9hWa
HO1mCo2iKDabMY4nREITUKtpHklQLrn4hxi11dgfc1gkwz9bB4QOLRdiHeUgbrkwZ2iJE6lI+oL5
uc92TU4CPWMIPoALm1dF5IAgJiUAj9vuGTdwF6xzyhngLZBkQmYAajIQagJD54un5H9U/380wMKe
Mc42InSKQI8F3RqQG6J8IoMS8vx13vGggYG2782FUBQcvThMIGEDVS+hwoEgH4PHrcwU/OKZEdCf
CkYctKYq2MnBp6YIKOq/OB7veLeVYdmJ+dRMm5w8tOgp5H8omqMuAt5GkhKk9907HvQtHO5cmZlt
Ji8uXLA29lGug94Okp49ZKwJz9Ybj/3rbin0mZz0KL52S52s1X+GW8hHbEJvvBdW5+SNfvgi2kZJ
QnlAyMR/9+P+6KjEBtNzJWihtsMOTN9y8qAZ6OCBv3YCfnC2gyjFwh6SZlMzqU0rKpyQWhL+Nevx
o08xfeMsefHybv75DzjIfQv5LGq6RBer7VoPzTAwEiraYRGWzBIsA51UlRlsuFGanV9tRAWw7SJo
tbmx6bUl/cxthx07LzLLpJbcelgjicxLEdOr99EPbt8xMlkbs5kkOXoEBNN2yhPnCb7aWR6jz+DL
TYCaDFOzaqZIJtx/4bTnf/g2P7gMEzNBWE0Py2IdUG2gV5fAIdquLkiOALakTAPXYzDuNA9hc6hF
ANFA+/nONi+MA4qfDMbNDJ+eLQHwtF3duZmcbTDgGRgMi8TKyqjolBDH4gZaGllxthsIx2jbdVg6
mZ2fuyaEJ6L1yGs/KgzvfMoM1njpwK5nZoiszFmRQmRg3pfo4AyeojyxmiUg1gdKFs0fm5zBz5uf
VeRvsSbNQIdxJQZmbRWFxllRUmJwRFbEtlOTJXLIbTfcd8KUAySt9dhRUhq0rWBxNYNj9czrga5A
+5W4AZlsbhl0LYhFkfouwi1HHzyAlNtPmJxo83xgom/X9rutD1YzcUKqsg4mRAZDx2eVzAP0p/WE
CwMBXbJt5keOMs+zWOLS3NKXxwGt1Xq+pZPVx+QAPWUGB/rBI8ViyrlEnqh5zPut5XNhaOGE1jai
w8aXCdz8p33B1wnFkQHMqvfPHRYZF5RpJfSGZhHVrM3kvLinMFhtlGrMTvQVzgtVzeIkiK21/5Y/
wJvdcsVfo9ZqOfTv/5OY/0uhmULkQ4DzVEHIhcqcAB75t9bqr0utHQE4P1IAOjlML1Jrp/Mn5wNY
wNO/GpG1bg9AMX2nPrMoby3s26VaLUozo3N3hksiyi9tzevI76wNvzCQjWsGIzeCwuBqnOQoiAeG
TzlipLGk7ZynUbglmf5mpIM3ygJhdoUFTgwrp2YMxoHmQe+3qjfACgb0sG9nBS7tzlf2LN1meEhA
U3v6rX9//i5kNY+lpbYH7teDbH5MLLL56CQrkbBruyUH4L08i3FZXD6DxKgdyssWGGxGsjUoEyUy
uCe1yI/AEU/tcYnByo42+blxYgFbHSdmuLE7k9zByWy+/8HyMViLseF73714GRhAyPCezZp7tSL3
gznGdY44Bijz0+U4SGK1PR03R6tKh7eq1DynhVk1k7wZ5XALEC3WtrN9SHJcAdRk0TXaftxHuNU1
oNHUdkN1862R/7prgMBN/gEvAd8CxJv6CgwcqY8hiGCpQd/8sG/7fYMoS8vzo85iXORCqGCJiEe1
PTeDPMnDrdMMdPAjGAyr2QaVrGARoN+Zcf7kA8GBsBHQg44GEggq3hUZZBeGZhBtAArFY95+HoMd
qMF0JxGNIn7bury9CbUoiEDKe/pdJQb5om8NFweUW/htjajnMLgjNCM2O49msqXutVfxRj94Xw5d
B9n2jNrxMgP/bGSBPPp0GQhjdtvTCU43I4tg93zi9IQmZaqIyFfrByROltDDssjujDLbiWLaXCsM
Tuc9jv3EOPdYVQb3/MR4og8hC6dkYp9dA2/na94+2S83ArqR2u8E7ff/nZmd7T/PishJqFPHcQw2
2sIES1Qzy4PXxwLPsnSezr0CkNY3j3m/i7oEdi+zqcsFZPsMxnWezlZBZHDZrtDRaBkp0iDNDA8L
zOIaQW05yjJ6O7wK6PtBK4xan1FSNhgELs3s3//dMOzZoAyM8AoX6ea83sngSKwMhG6ZQ7eogcmD
xTKQkc9rchyLa24V1cT+olu0meZhr7GAZV05cPGpUVlcGYdR6ZvoIDPR9uY8muEupExSI6dm/RLf
nf90teju97/n4TmFGguUzx0iE7r/me8xcGPXZrWxTd83KY8TpAzNyrz/TD9D6V+0VYD0icHgpGpG
l8R5FiCiNWmtNjpLMzqrVHIMvKA16u3nLQssWkXX+Vn3JdDb7Zf4HvLSzSjEVvAssqHr3/8j6kAK
+Pe/H5C4N8nv/yvcOHTrCS8wWGv0lTln3QkHody25uPeCOtzAw2Cm2ah3n9cHqwXB5wFbgt5ArBy
G52xkdJfkwUGCiwZzlkWmmdSJ0MeBoUDp1nVw/ZjccF+eRGD8CywSl+c4Ml4KqmrlWfR/Xu0oS/P
N+HlaruTB07SuYczR1U80ILUfuSPT5VJfTuFhzQ6qJ7Arw3lbBjqt+Opvy4Py5Nuun/AROxXC1Et
Gnlp4AYDU/sRiKEnw3HpgSUG+yhBzzTtAjIIC9DebfnG1kztZobH26350/tN+AqFIrRTNAMdhmUx
YRtiZ1QCmSi+tz7+yB/Tp1RgMFekRZ+iLf3NWFxj68TpLNGXT6UiWGQMUJ6lS5Is7kVgJqwOtNGt
zvrjXfOpyHbgWPjss3AL7/TMueFYFNYxMv3pOBZu79yI6e3LseCDWFRQna/PzRlumWa933+Ojyi0
RXSWYOUErv3Yxxv9wtgMjvQCFDee/XJJGJzrpUHXJABka78WK2NjRC+OCAscA3CVKBCe7WUWnikS
VVunoKNlTmZw15HEWnV+plmUIq7MmI6TOYXBpyMgA/TxXAI7ciqT8b0XrgrHomXsBnAcJ45RkznL
eLA424AgGzHMRnM0Dh4Ax2B33NuGc95bwBNW6bZewL3hOi9XGu46i6Ed5KyacY4+FosZI6AlbuG5
meNZWKSH+sm8sBwsmnoeHTMD3odaDxam7hpN2FHRmWUABMSdv3VGqDtGWf58Mk8fRyjoGXyA5wcu
8tBIbcSQf+s0/9e59FBFZBFhr2PU9v3qkr0BBwQL32flbLeAto+MlKoGH+n4vn/OYEV+iI7wedXW
tuOBWyLEqn37v0f2o9MvBTZVUEwwSCodbhUDHyhx/P/7P/499YzK6EySCoUnzGCK2mlgNF+Nsodg
UpEFFpWzewd4hi7qcnQxSgEhsEDooNsasLWJoMBrtnv6t6FjRBDqwlvdAh9jUDkvQsIMBez2Dx1G
kL/BAt4bHsJIh8Ya9xVCt8Lg4y2M3EkcqjkfyMOeDGnt9q9wY3R9p7tB33s3TfNmvGOMcngGgzwQ
2rWsCyMzsEFLI87sM7fmuDRvXlx/XWLpErFL2zzT6duQgOf1NovT3x6ddmC8hVZ/69+fj/Fx+zxT
rP65r3bEX2inLNfNBF6jMP2Y5E9UToGBGwjaLweY1kOBY2AkT6jOnJ4CvvnD+wNUwB9zx6cBkCzc
TDJb4L+pm4BFEz2B/4AsFk0Z1NAs0gCaUaGJ9ZJfwMJp0852BwuswzAKUNqgKcVZuEjNuJfBfSxi
VLBln5Nws+hvRuvSFhzWOV0FZFGNn4I+lipEcCxcjjn28dn341iQj64MKAOHLyAaLOCfpM80JZVt
yrflXuVL+0HH9gYcLFlE2uUoX4tnQUB6pDtfOFmWHqzplVk4tAVhEdAcn7LMN3S+iGdi+dDk4WyN
7WH699ETyPka83+IiFkwftwjIj6uj4Z9GaWXjCHPArV3XKhHBxRBYKEnva4Ezn20Ci8SKiwAcgOC
s0rtzqOTWM5FIw9m1WY933+dPqxffQKDC3sA5o0zdCbPousTgrckh9oswWFLsQhw1gbtFfEKg5Bj
TbQLRiCNQ20/p48xC76t4+6EC5PZv//dN4PqdFUkNuAgvMDKwBNo6gUiYsQgqDm+wPEW6PzLkYrr
X09fQgAx45th2SUf/8/pYyWN4/+QlXPCc3gO3GJBZ4I609fI9y5kzWTQKUAatS/LfU4kEqlvo9r/
uu9+icS2ib0OAdlzYIoQ7Y9sz38+LaCjVAnovY0gogI6FqZlAMa58ziRwc22Jn3C0cWbk0WhVIuI
u/EvCxM8DKH1r5ccDxZuwKEeS5jVYRtJB/Gl57Dgx4IMdXMYqeuJBUnW2HGpSIRFEW4MDiCig9DI
9Bx4WZxN8hIdoDLYS89N3CC5ql6gD1iwNjyPfyiQk49N/MtvDOoE/LGlPgqLjmZEnlRB5iX7dv7T
CPCpCb6n5x16eIfVZgjvz2/+jnoJ0Bg3F/z73dcFssRP8KmakQ5ZOBYYWs1OUGZD0ubCDcWxoJ+9
MsuOZvgm8Cx07AVHp3mb96/LlXPW7MCiQ+7RCNHaRyfMWTjHV2gqoUdlcWbJAn8xAS2gyXhBRtR+
eW+cbIOg5uLlAu53Bg8wYmRRyStcaJ1jUwPxz1tAGBxHXFIpahOXsREsGHmOccLU9JGN+y+djymi
8RQtJ8cUAzmxyIeivqfloU35KaDkb/9R7iMPpArUToWIK4txgZ1ohjnEsSzQVvc5CPjOJstgZ37C
53WOKZdxnqEQTk2cRZL4hZPJs6goagT6QtJ1zaE9nbcEo6so0ACAGCsqgKLEghLz4VRGEGqFYZR0
rnNU8uEvXnTjoBcvQhJclFSEP0QZtd/M8XsXwV8Y+FzQ1Wgb+Jy+zXPcdPpXVNXuzwnrL4l6/Llv
+c7a3sSMkDakziYLaNpdnp7h9HgWVYX73/8POnUqs9nuRxv45n10aXP8OfvikvrKn7svLr07az3d
S7Iv/3hveUn85Rd7yzc+9jPwYeMj/Pq3/wcAAP//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27" name="TextBox 19">
          <a:extLst>
            <a:ext uri="{FF2B5EF4-FFF2-40B4-BE49-F238E27FC236}">
              <a16:creationId xmlns:a16="http://schemas.microsoft.com/office/drawing/2014/main" id="{00000000-0008-0000-0000-00001B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manage an </a:t>
          </a:r>
          <a:r>
            <a:rPr lang="en-US" b="1">
              <a:solidFill>
                <a:schemeClr val="dk1"/>
              </a:solidFill>
            </a:rPr>
            <a:t>online retail company </a:t>
          </a:r>
          <a:r>
            <a:rPr lang="en-US">
              <a:solidFill>
                <a:schemeClr val="dk1"/>
              </a:solidFill>
            </a:rPr>
            <a:t>that ships specialty products to countries in Europe, and you are preparing a workbook to </a:t>
          </a:r>
          <a:r>
            <a:rPr lang="en-US" b="1">
              <a:solidFill>
                <a:schemeClr val="dk1"/>
              </a:solidFill>
            </a:rPr>
            <a:t>track key business metrics</a:t>
          </a:r>
        </a:p>
      </xdr:txBody>
    </xdr:sp>
    <xdr:clientData/>
  </xdr:twoCellAnchor>
  <xdr:twoCellAnchor>
    <xdr:from>
      <xdr:col>1</xdr:col>
      <xdr:colOff>0</xdr:colOff>
      <xdr:row>10</xdr:row>
      <xdr:rowOff>107983</xdr:rowOff>
    </xdr:from>
    <xdr:to>
      <xdr:col>15</xdr:col>
      <xdr:colOff>191548</xdr:colOff>
      <xdr:row>25</xdr:row>
      <xdr:rowOff>174360</xdr:rowOff>
    </xdr:to>
    <xdr:sp macro="" textlink="">
      <xdr:nvSpPr>
        <xdr:cNvPr id="28" name="TextBox 21">
          <a:extLst>
            <a:ext uri="{FF2B5EF4-FFF2-40B4-BE49-F238E27FC236}">
              <a16:creationId xmlns:a16="http://schemas.microsoft.com/office/drawing/2014/main" id="{00000000-0008-0000-0000-00001C000000}"/>
            </a:ext>
          </a:extLst>
        </xdr:cNvPr>
        <xdr:cNvSpPr txBox="1"/>
      </xdr:nvSpPr>
      <xdr:spPr>
        <a:xfrm>
          <a:off x="190500" y="2012983"/>
          <a:ext cx="8725948" cy="29238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Orders</a:t>
          </a:r>
          <a:r>
            <a:rPr lang="en-US" sz="1600">
              <a:solidFill>
                <a:schemeClr val="dk1"/>
              </a:solidFill>
            </a:rPr>
            <a:t> worksheet, use a formula to fill the </a:t>
          </a:r>
          <a:r>
            <a:rPr lang="en-US" sz="1600" b="1">
              <a:solidFill>
                <a:schemeClr val="dk1"/>
              </a:solidFill>
            </a:rPr>
            <a:t>Product Name </a:t>
          </a:r>
          <a:r>
            <a:rPr lang="en-US" sz="1600">
              <a:solidFill>
                <a:schemeClr val="dk1"/>
              </a:solidFill>
            </a:rPr>
            <a:t>column using the information in the </a:t>
          </a:r>
          <a:r>
            <a:rPr lang="en-US" sz="1600" b="1">
              <a:solidFill>
                <a:schemeClr val="dk1"/>
              </a:solidFill>
            </a:rPr>
            <a:t>Products</a:t>
          </a:r>
          <a:r>
            <a:rPr lang="en-US" sz="1600">
              <a:solidFill>
                <a:schemeClr val="dk1"/>
              </a:solidFill>
            </a:rPr>
            <a:t> worksheet</a:t>
          </a:r>
        </a:p>
        <a:p>
          <a:pPr marL="342900" lvl="0" indent="-342900">
            <a:spcAft>
              <a:spcPts val="1200"/>
            </a:spcAft>
            <a:buFont typeface="+mj-lt"/>
            <a:buAutoNum type="arabicPeriod"/>
            <a:defRPr/>
          </a:pPr>
          <a:r>
            <a:rPr lang="en-US" sz="1600">
              <a:solidFill>
                <a:schemeClr val="dk1"/>
              </a:solidFill>
            </a:rPr>
            <a:t>In cell </a:t>
          </a:r>
          <a:r>
            <a:rPr lang="en-US" sz="1600" b="1">
              <a:solidFill>
                <a:schemeClr val="dk1"/>
              </a:solidFill>
            </a:rPr>
            <a:t>L2</a:t>
          </a:r>
          <a:r>
            <a:rPr lang="en-US" sz="1600">
              <a:solidFill>
                <a:schemeClr val="dk1"/>
              </a:solidFill>
            </a:rPr>
            <a:t> on the </a:t>
          </a:r>
          <a:r>
            <a:rPr lang="en-US" sz="1600" b="1">
              <a:solidFill>
                <a:schemeClr val="dk1"/>
              </a:solidFill>
            </a:rPr>
            <a:t>Orders</a:t>
          </a:r>
          <a:r>
            <a:rPr lang="en-US" sz="1600">
              <a:solidFill>
                <a:schemeClr val="dk1"/>
              </a:solidFill>
            </a:rPr>
            <a:t> worksheet, use a formula to calculate the number of orders from the </a:t>
          </a:r>
          <a:r>
            <a:rPr lang="en-US" sz="1600" b="1">
              <a:solidFill>
                <a:schemeClr val="dk1"/>
              </a:solidFill>
            </a:rPr>
            <a:t>Country</a:t>
          </a:r>
          <a:r>
            <a:rPr lang="en-US" sz="1600">
              <a:solidFill>
                <a:schemeClr val="dk1"/>
              </a:solidFill>
            </a:rPr>
            <a:t> selected in cell </a:t>
          </a:r>
          <a:r>
            <a:rPr lang="en-US" sz="1600" b="1">
              <a:solidFill>
                <a:schemeClr val="dk1"/>
              </a:solidFill>
            </a:rPr>
            <a:t>K2</a:t>
          </a:r>
          <a:r>
            <a:rPr lang="en-US" sz="1600">
              <a:solidFill>
                <a:schemeClr val="dk1"/>
              </a:solidFill>
            </a:rPr>
            <a:t> with a </a:t>
          </a:r>
          <a:r>
            <a:rPr lang="en-US" sz="1600" b="1">
              <a:solidFill>
                <a:schemeClr val="dk1"/>
              </a:solidFill>
            </a:rPr>
            <a:t>Revenue</a:t>
          </a:r>
          <a:r>
            <a:rPr lang="en-US" sz="1600">
              <a:solidFill>
                <a:schemeClr val="dk1"/>
              </a:solidFill>
            </a:rPr>
            <a:t> greater than or equal to $100</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Countries</a:t>
          </a:r>
          <a:r>
            <a:rPr lang="en-US" sz="1600">
              <a:solidFill>
                <a:schemeClr val="dk1"/>
              </a:solidFill>
            </a:rPr>
            <a:t> worksheet, insert a </a:t>
          </a:r>
          <a:r>
            <a:rPr lang="en-US" sz="1600" b="1">
              <a:solidFill>
                <a:schemeClr val="dk1"/>
              </a:solidFill>
            </a:rPr>
            <a:t>Filled Map</a:t>
          </a:r>
          <a:r>
            <a:rPr lang="en-US" sz="1600">
              <a:solidFill>
                <a:schemeClr val="dk1"/>
              </a:solidFill>
            </a:rPr>
            <a:t> using the information in cells </a:t>
          </a:r>
          <a:r>
            <a:rPr lang="en-US" sz="1600" b="1">
              <a:solidFill>
                <a:schemeClr val="dk1"/>
              </a:solidFill>
            </a:rPr>
            <a:t>A1:B15</a:t>
          </a:r>
          <a:endParaRPr lang="en-US" sz="1600">
            <a:solidFill>
              <a:schemeClr val="dk1"/>
            </a:solidFill>
          </a:endParaRPr>
        </a:p>
        <a:p>
          <a:pPr marL="342900" lvl="0" indent="-342900">
            <a:spcAft>
              <a:spcPts val="1200"/>
            </a:spcAft>
            <a:buFont typeface="+mj-lt"/>
            <a:buAutoNum type="arabicPeriod"/>
            <a:defRPr/>
          </a:pPr>
          <a:r>
            <a:rPr lang="en-US" sz="1600">
              <a:solidFill>
                <a:schemeClr val="dk1"/>
              </a:solidFill>
            </a:rPr>
            <a:t>In cell </a:t>
          </a:r>
          <a:r>
            <a:rPr lang="en-US" sz="1600" b="1">
              <a:solidFill>
                <a:schemeClr val="dk1"/>
              </a:solidFill>
            </a:rPr>
            <a:t>B5</a:t>
          </a:r>
          <a:r>
            <a:rPr lang="en-US" sz="1600">
              <a:solidFill>
                <a:schemeClr val="dk1"/>
              </a:solidFill>
            </a:rPr>
            <a:t> of the </a:t>
          </a:r>
          <a:r>
            <a:rPr lang="en-US" sz="1600" b="1">
              <a:solidFill>
                <a:schemeClr val="dk1"/>
              </a:solidFill>
            </a:rPr>
            <a:t>Warehouse</a:t>
          </a:r>
          <a:r>
            <a:rPr lang="en-US" sz="1600">
              <a:solidFill>
                <a:schemeClr val="dk1"/>
              </a:solidFill>
            </a:rPr>
            <a:t> </a:t>
          </a:r>
          <a:r>
            <a:rPr lang="en-US" sz="1600" b="1">
              <a:solidFill>
                <a:schemeClr val="dk1"/>
              </a:solidFill>
            </a:rPr>
            <a:t>Extension</a:t>
          </a:r>
          <a:r>
            <a:rPr lang="en-US" sz="1600">
              <a:solidFill>
                <a:schemeClr val="dk1"/>
              </a:solidFill>
            </a:rPr>
            <a:t> worksheet, use a formula that calculates the monthly payment amount, assuming the payment is due at the beginning of each month</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Summary Chart </a:t>
          </a:r>
          <a:r>
            <a:rPr lang="en-US" sz="1600">
              <a:solidFill>
                <a:schemeClr val="dk1"/>
              </a:solidFill>
            </a:rPr>
            <a:t>worksheet, add a </a:t>
          </a:r>
          <a:r>
            <a:rPr lang="en-US" sz="1600" b="1">
              <a:solidFill>
                <a:schemeClr val="dk1"/>
              </a:solidFill>
            </a:rPr>
            <a:t>Line Pivot Chart </a:t>
          </a:r>
          <a:r>
            <a:rPr lang="en-US" sz="1600">
              <a:solidFill>
                <a:schemeClr val="dk1"/>
              </a:solidFill>
            </a:rPr>
            <a:t>and change the Pivot Chart formatting to </a:t>
          </a:r>
          <a:r>
            <a:rPr lang="en-US" sz="1600" b="1">
              <a:solidFill>
                <a:schemeClr val="dk1"/>
              </a:solidFill>
            </a:rPr>
            <a:t>Style 5</a:t>
          </a:r>
          <a:r>
            <a:rPr lang="en-US" sz="1600">
              <a:solidFill>
                <a:schemeClr val="dk1"/>
              </a:solidFill>
            </a:rPr>
            <a:t> and </a:t>
          </a:r>
          <a:r>
            <a:rPr lang="en-US" sz="1600" b="1">
              <a:solidFill>
                <a:schemeClr val="dk1"/>
              </a:solidFill>
            </a:rPr>
            <a:t>Layout 4</a:t>
          </a:r>
          <a:endParaRPr kumimoji="0" lang="en-US" sz="1600" i="0" u="none" strike="noStrike" kern="1200" cap="none" spc="0" normalizeH="0" baseline="0">
            <a:ln>
              <a:noFill/>
            </a:ln>
            <a:solidFill>
              <a:prstClr val="black">
                <a:lumMod val="85000"/>
                <a:lumOff val="15000"/>
              </a:prstClr>
            </a:solidFill>
            <a:effectLst/>
            <a:uLnTx/>
            <a:uFillTx/>
          </a:endParaRP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29" name="Google Shape;7890;p302">
          <a:extLst>
            <a:ext uri="{FF2B5EF4-FFF2-40B4-BE49-F238E27FC236}">
              <a16:creationId xmlns:a16="http://schemas.microsoft.com/office/drawing/2014/main" id="{00000000-0008-0000-0000-00001D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30" name="Group 29">
          <a:extLst>
            <a:ext uri="{FF2B5EF4-FFF2-40B4-BE49-F238E27FC236}">
              <a16:creationId xmlns:a16="http://schemas.microsoft.com/office/drawing/2014/main" id="{00000000-0008-0000-0000-00001E000000}"/>
            </a:ext>
          </a:extLst>
        </xdr:cNvPr>
        <xdr:cNvGrpSpPr/>
      </xdr:nvGrpSpPr>
      <xdr:grpSpPr>
        <a:xfrm>
          <a:off x="266721" y="324460"/>
          <a:ext cx="2531584" cy="662266"/>
          <a:chOff x="2656994" y="1676486"/>
          <a:chExt cx="2531584" cy="692746"/>
        </a:xfrm>
      </xdr:grpSpPr>
      <xdr:grpSp>
        <xdr:nvGrpSpPr>
          <xdr:cNvPr id="33" name="Google Shape;7887;p302">
            <a:extLst>
              <a:ext uri="{FF2B5EF4-FFF2-40B4-BE49-F238E27FC236}">
                <a16:creationId xmlns:a16="http://schemas.microsoft.com/office/drawing/2014/main" id="{00000000-0008-0000-0000-000021000000}"/>
              </a:ext>
            </a:extLst>
          </xdr:cNvPr>
          <xdr:cNvGrpSpPr/>
        </xdr:nvGrpSpPr>
        <xdr:grpSpPr>
          <a:xfrm>
            <a:off x="3318753" y="1676486"/>
            <a:ext cx="1869825" cy="692746"/>
            <a:chOff x="1613474" y="1288575"/>
            <a:chExt cx="2016340" cy="692746"/>
          </a:xfrm>
        </xdr:grpSpPr>
        <xdr:sp macro="" textlink="">
          <xdr:nvSpPr>
            <xdr:cNvPr id="37" name="Google Shape;7888;p302">
              <a:extLst>
                <a:ext uri="{FF2B5EF4-FFF2-40B4-BE49-F238E27FC236}">
                  <a16:creationId xmlns:a16="http://schemas.microsoft.com/office/drawing/2014/main" id="{00000000-0008-0000-0000-000025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38" name="Google Shape;7889;p302">
              <a:extLst>
                <a:ext uri="{FF2B5EF4-FFF2-40B4-BE49-F238E27FC236}">
                  <a16:creationId xmlns:a16="http://schemas.microsoft.com/office/drawing/2014/main" id="{00000000-0008-0000-0000-000026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34" name="Group 33">
            <a:extLst>
              <a:ext uri="{FF2B5EF4-FFF2-40B4-BE49-F238E27FC236}">
                <a16:creationId xmlns:a16="http://schemas.microsoft.com/office/drawing/2014/main" id="{00000000-0008-0000-0000-000022000000}"/>
              </a:ext>
            </a:extLst>
          </xdr:cNvPr>
          <xdr:cNvGrpSpPr/>
        </xdr:nvGrpSpPr>
        <xdr:grpSpPr>
          <a:xfrm>
            <a:off x="2656994" y="1764113"/>
            <a:ext cx="662579" cy="563931"/>
            <a:chOff x="620960" y="4111492"/>
            <a:chExt cx="644465" cy="548514"/>
          </a:xfrm>
        </xdr:grpSpPr>
        <xdr:sp macro="" textlink="">
          <xdr:nvSpPr>
            <xdr:cNvPr id="35" name="Google Shape;235;p18">
              <a:extLst>
                <a:ext uri="{FF2B5EF4-FFF2-40B4-BE49-F238E27FC236}">
                  <a16:creationId xmlns:a16="http://schemas.microsoft.com/office/drawing/2014/main" id="{00000000-0008-0000-0000-000023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36" name="Google Shape;239;p18">
              <a:extLst>
                <a:ext uri="{FF2B5EF4-FFF2-40B4-BE49-F238E27FC236}">
                  <a16:creationId xmlns:a16="http://schemas.microsoft.com/office/drawing/2014/main" id="{00000000-0008-0000-0000-000024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31" name="TextBox 35">
          <a:extLst>
            <a:ext uri="{FF2B5EF4-FFF2-40B4-BE49-F238E27FC236}">
              <a16:creationId xmlns:a16="http://schemas.microsoft.com/office/drawing/2014/main" id="{00000000-0008-0000-0000-00001F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32" name="Google Shape;7890;p302">
          <a:extLst>
            <a:ext uri="{FF2B5EF4-FFF2-40B4-BE49-F238E27FC236}">
              <a16:creationId xmlns:a16="http://schemas.microsoft.com/office/drawing/2014/main" id="{00000000-0008-0000-0000-000020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510540</xdr:colOff>
      <xdr:row>6</xdr:row>
      <xdr:rowOff>140970</xdr:rowOff>
    </xdr:from>
    <xdr:to>
      <xdr:col>11</xdr:col>
      <xdr:colOff>205740</xdr:colOff>
      <xdr:row>21</xdr:row>
      <xdr:rowOff>140970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673B8E3-D95B-2598-984B-8B30458BDB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03220" y="12382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563880</xdr:colOff>
      <xdr:row>7</xdr:row>
      <xdr:rowOff>80010</xdr:rowOff>
    </xdr:from>
    <xdr:to>
      <xdr:col>10</xdr:col>
      <xdr:colOff>190500</xdr:colOff>
      <xdr:row>22</xdr:row>
      <xdr:rowOff>80010</xdr:rowOff>
    </xdr:to>
    <xdr:graphicFrame macro="">
      <xdr:nvGraphicFramePr>
        <xdr:cNvPr id="2" name="Chart 1">
          <a:extLst>
            <a:ext uri="{FF2B5EF4-FFF2-40B4-BE49-F238E27FC236}">
              <a16:creationId xmlns:a16="http://schemas.microsoft.com/office/drawing/2014/main" id="{153BE1B4-F036-3CDB-575E-1CB606E19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15" name="TextBox 19">
          <a:extLst>
            <a:ext uri="{FF2B5EF4-FFF2-40B4-BE49-F238E27FC236}">
              <a16:creationId xmlns:a16="http://schemas.microsoft.com/office/drawing/2014/main" id="{00000000-0008-0000-0600-00000F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are the Sales Director of a </a:t>
          </a:r>
          <a:r>
            <a:rPr lang="en-US" b="1">
              <a:solidFill>
                <a:schemeClr val="dk1"/>
              </a:solidFill>
            </a:rPr>
            <a:t>beer manufacturing company </a:t>
          </a:r>
          <a:r>
            <a:rPr lang="en-US">
              <a:solidFill>
                <a:schemeClr val="dk1"/>
              </a:solidFill>
            </a:rPr>
            <a:t>that supplies the beer for all Major League Baseball stadiums, and you are preparing a workbook to </a:t>
          </a:r>
          <a:r>
            <a:rPr lang="en-US" b="1">
              <a:solidFill>
                <a:schemeClr val="dk1"/>
              </a:solidFill>
            </a:rPr>
            <a:t>help manage pricing</a:t>
          </a:r>
          <a:endParaRPr lang="en-US">
            <a:solidFill>
              <a:schemeClr val="dk1"/>
            </a:solidFill>
          </a:endParaRPr>
        </a:p>
      </xdr:txBody>
    </xdr:sp>
    <xdr:clientData/>
  </xdr:twoCellAnchor>
  <xdr:twoCellAnchor>
    <xdr:from>
      <xdr:col>1</xdr:col>
      <xdr:colOff>0</xdr:colOff>
      <xdr:row>10</xdr:row>
      <xdr:rowOff>107983</xdr:rowOff>
    </xdr:from>
    <xdr:to>
      <xdr:col>15</xdr:col>
      <xdr:colOff>191548</xdr:colOff>
      <xdr:row>25</xdr:row>
      <xdr:rowOff>20472</xdr:rowOff>
    </xdr:to>
    <xdr:sp macro="" textlink="">
      <xdr:nvSpPr>
        <xdr:cNvPr id="16" name="TextBox 21">
          <a:extLst>
            <a:ext uri="{FF2B5EF4-FFF2-40B4-BE49-F238E27FC236}">
              <a16:creationId xmlns:a16="http://schemas.microsoft.com/office/drawing/2014/main" id="{00000000-0008-0000-0600-000010000000}"/>
            </a:ext>
          </a:extLst>
        </xdr:cNvPr>
        <xdr:cNvSpPr txBox="1"/>
      </xdr:nvSpPr>
      <xdr:spPr>
        <a:xfrm>
          <a:off x="190500" y="2012983"/>
          <a:ext cx="8725948" cy="276998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Team Selector</a:t>
          </a:r>
          <a:r>
            <a:rPr lang="en-US" sz="1600">
              <a:solidFill>
                <a:schemeClr val="dk1"/>
              </a:solidFill>
            </a:rPr>
            <a:t> worksheet, add a data validation list to cell </a:t>
          </a:r>
          <a:r>
            <a:rPr lang="en-US" sz="1600" b="1">
              <a:solidFill>
                <a:schemeClr val="dk1"/>
              </a:solidFill>
            </a:rPr>
            <a:t>C6</a:t>
          </a:r>
          <a:r>
            <a:rPr lang="en-US" sz="1600">
              <a:solidFill>
                <a:schemeClr val="dk1"/>
              </a:solidFill>
            </a:rPr>
            <a:t> using range </a:t>
          </a:r>
          <a:r>
            <a:rPr lang="en-US" sz="1600" b="1">
              <a:solidFill>
                <a:schemeClr val="dk1"/>
              </a:solidFill>
            </a:rPr>
            <a:t>A2:A31 </a:t>
          </a:r>
          <a:r>
            <a:rPr lang="en-US" sz="1600">
              <a:solidFill>
                <a:schemeClr val="dk1"/>
              </a:solidFill>
            </a:rPr>
            <a:t>from the </a:t>
          </a:r>
          <a:r>
            <a:rPr lang="en-US" sz="1600" b="1">
              <a:solidFill>
                <a:schemeClr val="dk1"/>
              </a:solidFill>
            </a:rPr>
            <a:t>Beer Prices </a:t>
          </a:r>
          <a:r>
            <a:rPr lang="en-US" sz="1600">
              <a:solidFill>
                <a:schemeClr val="dk1"/>
              </a:solidFill>
            </a:rPr>
            <a:t>worksheet as the source; select the Philadelphia Phillies</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Beer Prices</a:t>
          </a:r>
          <a:r>
            <a:rPr lang="en-US" sz="1600">
              <a:solidFill>
                <a:schemeClr val="dk1"/>
              </a:solidFill>
            </a:rPr>
            <a:t> worksheet, group columns </a:t>
          </a:r>
          <a:r>
            <a:rPr lang="en-US" sz="1600" b="1">
              <a:solidFill>
                <a:schemeClr val="dk1"/>
              </a:solidFill>
            </a:rPr>
            <a:t>B:C</a:t>
          </a:r>
          <a:endParaRPr lang="en-US" sz="1600">
            <a:solidFill>
              <a:schemeClr val="dk1"/>
            </a:solidFill>
          </a:endParaRP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Price per Ounce</a:t>
          </a:r>
          <a:r>
            <a:rPr lang="en-US" sz="1600">
              <a:solidFill>
                <a:schemeClr val="dk1"/>
              </a:solidFill>
            </a:rPr>
            <a:t> worksheet, use conditional formatting to apply a Red - White - Green color scale to range </a:t>
          </a:r>
          <a:r>
            <a:rPr lang="en-US" sz="1600" b="1">
              <a:solidFill>
                <a:schemeClr val="dk1"/>
              </a:solidFill>
            </a:rPr>
            <a:t>B2:F31</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Price per Ounce </a:t>
          </a:r>
          <a:r>
            <a:rPr lang="en-US" sz="1600">
              <a:solidFill>
                <a:schemeClr val="dk1"/>
              </a:solidFill>
            </a:rPr>
            <a:t>worksheet, add a formula in cell </a:t>
          </a:r>
          <a:r>
            <a:rPr lang="en-US" sz="1600" b="1">
              <a:solidFill>
                <a:schemeClr val="dk1"/>
              </a:solidFill>
            </a:rPr>
            <a:t>G2</a:t>
          </a:r>
          <a:r>
            <a:rPr lang="en-US" sz="1600">
              <a:solidFill>
                <a:schemeClr val="dk1"/>
              </a:solidFill>
            </a:rPr>
            <a:t> that displays “None” if the Price per Ounce in 2018 was equal to the Price per Ounce in 2013, displays “Increase” if the Price per Ounce in 2018 is greater than the Price per Ounce in 2016 or greater than the average Price per Ounce from 2013-2016. Otherwise, display “Decrease”.</a:t>
          </a:r>
          <a:endParaRPr lang="en-US" sz="1600" b="1">
            <a:solidFill>
              <a:prstClr val="black">
                <a:lumMod val="85000"/>
                <a:lumOff val="15000"/>
              </a:prstClr>
            </a:solidFill>
          </a:endParaRP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17" name="Google Shape;7890;p302">
          <a:extLst>
            <a:ext uri="{FF2B5EF4-FFF2-40B4-BE49-F238E27FC236}">
              <a16:creationId xmlns:a16="http://schemas.microsoft.com/office/drawing/2014/main" id="{00000000-0008-0000-0600-000011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18" name="Group 17">
          <a:extLst>
            <a:ext uri="{FF2B5EF4-FFF2-40B4-BE49-F238E27FC236}">
              <a16:creationId xmlns:a16="http://schemas.microsoft.com/office/drawing/2014/main" id="{00000000-0008-0000-0600-000012000000}"/>
            </a:ext>
          </a:extLst>
        </xdr:cNvPr>
        <xdr:cNvGrpSpPr/>
      </xdr:nvGrpSpPr>
      <xdr:grpSpPr>
        <a:xfrm>
          <a:off x="266721" y="324460"/>
          <a:ext cx="2531584" cy="662266"/>
          <a:chOff x="2656994" y="1676486"/>
          <a:chExt cx="2531584" cy="692746"/>
        </a:xfrm>
      </xdr:grpSpPr>
      <xdr:grpSp>
        <xdr:nvGrpSpPr>
          <xdr:cNvPr id="21" name="Google Shape;7887;p302">
            <a:extLst>
              <a:ext uri="{FF2B5EF4-FFF2-40B4-BE49-F238E27FC236}">
                <a16:creationId xmlns:a16="http://schemas.microsoft.com/office/drawing/2014/main" id="{00000000-0008-0000-0600-000015000000}"/>
              </a:ext>
            </a:extLst>
          </xdr:cNvPr>
          <xdr:cNvGrpSpPr/>
        </xdr:nvGrpSpPr>
        <xdr:grpSpPr>
          <a:xfrm>
            <a:off x="3318753" y="1676486"/>
            <a:ext cx="1869825" cy="692746"/>
            <a:chOff x="1613474" y="1288575"/>
            <a:chExt cx="2016340" cy="692746"/>
          </a:xfrm>
        </xdr:grpSpPr>
        <xdr:sp macro="" textlink="">
          <xdr:nvSpPr>
            <xdr:cNvPr id="25" name="Google Shape;7888;p302">
              <a:extLst>
                <a:ext uri="{FF2B5EF4-FFF2-40B4-BE49-F238E27FC236}">
                  <a16:creationId xmlns:a16="http://schemas.microsoft.com/office/drawing/2014/main" id="{00000000-0008-0000-0600-000019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26" name="Google Shape;7889;p302">
              <a:extLst>
                <a:ext uri="{FF2B5EF4-FFF2-40B4-BE49-F238E27FC236}">
                  <a16:creationId xmlns:a16="http://schemas.microsoft.com/office/drawing/2014/main" id="{00000000-0008-0000-0600-00001A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22" name="Group 21">
            <a:extLst>
              <a:ext uri="{FF2B5EF4-FFF2-40B4-BE49-F238E27FC236}">
                <a16:creationId xmlns:a16="http://schemas.microsoft.com/office/drawing/2014/main" id="{00000000-0008-0000-0600-000016000000}"/>
              </a:ext>
            </a:extLst>
          </xdr:cNvPr>
          <xdr:cNvGrpSpPr/>
        </xdr:nvGrpSpPr>
        <xdr:grpSpPr>
          <a:xfrm>
            <a:off x="2656994" y="1764113"/>
            <a:ext cx="662579" cy="563931"/>
            <a:chOff x="620960" y="4111492"/>
            <a:chExt cx="644465" cy="548514"/>
          </a:xfrm>
        </xdr:grpSpPr>
        <xdr:sp macro="" textlink="">
          <xdr:nvSpPr>
            <xdr:cNvPr id="23" name="Google Shape;235;p18">
              <a:extLst>
                <a:ext uri="{FF2B5EF4-FFF2-40B4-BE49-F238E27FC236}">
                  <a16:creationId xmlns:a16="http://schemas.microsoft.com/office/drawing/2014/main" id="{00000000-0008-0000-0600-000017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24" name="Google Shape;239;p18">
              <a:extLst>
                <a:ext uri="{FF2B5EF4-FFF2-40B4-BE49-F238E27FC236}">
                  <a16:creationId xmlns:a16="http://schemas.microsoft.com/office/drawing/2014/main" id="{00000000-0008-0000-0600-000018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19" name="TextBox 35">
          <a:extLst>
            <a:ext uri="{FF2B5EF4-FFF2-40B4-BE49-F238E27FC236}">
              <a16:creationId xmlns:a16="http://schemas.microsoft.com/office/drawing/2014/main" id="{00000000-0008-0000-0600-000013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20" name="Google Shape;7890;p302">
          <a:extLst>
            <a:ext uri="{FF2B5EF4-FFF2-40B4-BE49-F238E27FC236}">
              <a16:creationId xmlns:a16="http://schemas.microsoft.com/office/drawing/2014/main" id="{00000000-0008-0000-0600-000014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110490</xdr:colOff>
      <xdr:row>1</xdr:row>
      <xdr:rowOff>1213</xdr:rowOff>
    </xdr:from>
    <xdr:to>
      <xdr:col>1</xdr:col>
      <xdr:colOff>528666</xdr:colOff>
      <xdr:row>3</xdr:row>
      <xdr:rowOff>192232</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490" y="198640"/>
          <a:ext cx="1027776" cy="5858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374297</xdr:colOff>
      <xdr:row>1</xdr:row>
      <xdr:rowOff>0</xdr:rowOff>
    </xdr:from>
    <xdr:to>
      <xdr:col>15</xdr:col>
      <xdr:colOff>367808</xdr:colOff>
      <xdr:row>5</xdr:row>
      <xdr:rowOff>161330</xdr:rowOff>
    </xdr:to>
    <xdr:sp macro="" textlink="">
      <xdr:nvSpPr>
        <xdr:cNvPr id="4" name="TextBox 19">
          <a:extLst>
            <a:ext uri="{FF2B5EF4-FFF2-40B4-BE49-F238E27FC236}">
              <a16:creationId xmlns:a16="http://schemas.microsoft.com/office/drawing/2014/main" id="{00000000-0008-0000-0A00-000004000000}"/>
            </a:ext>
          </a:extLst>
        </xdr:cNvPr>
        <xdr:cNvSpPr txBox="1"/>
      </xdr:nvSpPr>
      <xdr:spPr>
        <a:xfrm>
          <a:off x="3003197" y="190500"/>
          <a:ext cx="6089511"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work for an </a:t>
          </a:r>
          <a:r>
            <a:rPr lang="en-US" b="1">
              <a:solidFill>
                <a:schemeClr val="dk1"/>
              </a:solidFill>
            </a:rPr>
            <a:t>international non-profit organization</a:t>
          </a:r>
          <a:r>
            <a:rPr lang="en-US">
              <a:solidFill>
                <a:schemeClr val="dk1"/>
              </a:solidFill>
            </a:rPr>
            <a:t> and you are preparing an Excel workbook to </a:t>
          </a:r>
          <a:r>
            <a:rPr lang="en-US" b="1">
              <a:solidFill>
                <a:schemeClr val="dk1"/>
              </a:solidFill>
            </a:rPr>
            <a:t>analyze development indicators</a:t>
          </a:r>
          <a:r>
            <a:rPr lang="en-US">
              <a:solidFill>
                <a:schemeClr val="dk1"/>
              </a:solidFill>
            </a:rPr>
            <a:t> by country</a:t>
          </a:r>
        </a:p>
      </xdr:txBody>
    </xdr:sp>
    <xdr:clientData/>
  </xdr:twoCellAnchor>
  <xdr:twoCellAnchor>
    <xdr:from>
      <xdr:col>1</xdr:col>
      <xdr:colOff>0</xdr:colOff>
      <xdr:row>10</xdr:row>
      <xdr:rowOff>107983</xdr:rowOff>
    </xdr:from>
    <xdr:to>
      <xdr:col>15</xdr:col>
      <xdr:colOff>191548</xdr:colOff>
      <xdr:row>25</xdr:row>
      <xdr:rowOff>174360</xdr:rowOff>
    </xdr:to>
    <xdr:sp macro="" textlink="">
      <xdr:nvSpPr>
        <xdr:cNvPr id="5" name="TextBox 21">
          <a:extLst>
            <a:ext uri="{FF2B5EF4-FFF2-40B4-BE49-F238E27FC236}">
              <a16:creationId xmlns:a16="http://schemas.microsoft.com/office/drawing/2014/main" id="{00000000-0008-0000-0A00-000005000000}"/>
            </a:ext>
          </a:extLst>
        </xdr:cNvPr>
        <xdr:cNvSpPr txBox="1"/>
      </xdr:nvSpPr>
      <xdr:spPr>
        <a:xfrm>
          <a:off x="190500" y="2012983"/>
          <a:ext cx="8725948" cy="29238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Indicators </a:t>
          </a:r>
          <a:r>
            <a:rPr lang="en-US" sz="1600">
              <a:solidFill>
                <a:schemeClr val="dk1"/>
              </a:solidFill>
            </a:rPr>
            <a:t>worksheet, remove duplicates from the Indicators table by only considering the values in the </a:t>
          </a:r>
          <a:r>
            <a:rPr lang="en-US" sz="1600" b="1">
              <a:solidFill>
                <a:schemeClr val="dk1"/>
              </a:solidFill>
            </a:rPr>
            <a:t>Country</a:t>
          </a:r>
          <a:r>
            <a:rPr lang="en-US" sz="1600">
              <a:solidFill>
                <a:schemeClr val="dk1"/>
              </a:solidFill>
            </a:rPr>
            <a:t> column</a:t>
          </a:r>
        </a:p>
        <a:p>
          <a:pPr marL="342900" lvl="0" indent="-342900">
            <a:spcAft>
              <a:spcPts val="1200"/>
            </a:spcAft>
            <a:buFont typeface="+mj-lt"/>
            <a:buAutoNum type="arabicPeriod"/>
            <a:defRPr/>
          </a:pPr>
          <a:r>
            <a:rPr lang="en-US" sz="1600">
              <a:solidFill>
                <a:schemeClr val="dk1"/>
              </a:solidFill>
            </a:rPr>
            <a:t>Add </a:t>
          </a:r>
          <a:r>
            <a:rPr lang="en-US" sz="1600" b="1">
              <a:solidFill>
                <a:schemeClr val="dk1"/>
              </a:solidFill>
            </a:rPr>
            <a:t>Spanish (Mexico)</a:t>
          </a:r>
          <a:r>
            <a:rPr lang="en-US" sz="1600">
              <a:solidFill>
                <a:schemeClr val="dk1"/>
              </a:solidFill>
            </a:rPr>
            <a:t> as an authoring language and modify the Proofing options to allow </a:t>
          </a:r>
          <a:r>
            <a:rPr lang="en-US" sz="1600" b="1">
              <a:solidFill>
                <a:schemeClr val="dk1"/>
              </a:solidFill>
            </a:rPr>
            <a:t>Spanish Tuteo verb forms only</a:t>
          </a:r>
        </a:p>
        <a:p>
          <a:pPr marL="342900" lvl="0" indent="-342900">
            <a:spcAft>
              <a:spcPts val="1200"/>
            </a:spcAft>
            <a:buFont typeface="+mj-lt"/>
            <a:buAutoNum type="arabicPeriod"/>
            <a:defRPr/>
          </a:pPr>
          <a:r>
            <a:rPr lang="en-US" sz="1600">
              <a:solidFill>
                <a:schemeClr val="dk1"/>
              </a:solidFill>
            </a:rPr>
            <a:t>Disable all macros </a:t>
          </a:r>
          <a:r>
            <a:rPr lang="en-US" sz="1600" b="1">
              <a:solidFill>
                <a:schemeClr val="dk1"/>
              </a:solidFill>
            </a:rPr>
            <a:t>except</a:t>
          </a:r>
          <a:r>
            <a:rPr lang="en-US" sz="1600">
              <a:solidFill>
                <a:schemeClr val="dk1"/>
              </a:solidFill>
            </a:rPr>
            <a:t> </a:t>
          </a:r>
          <a:r>
            <a:rPr lang="en-US" sz="1600" b="1">
              <a:solidFill>
                <a:schemeClr val="dk1"/>
              </a:solidFill>
            </a:rPr>
            <a:t>digitally signed macros </a:t>
          </a:r>
          <a:r>
            <a:rPr lang="en-US" sz="1600">
              <a:solidFill>
                <a:schemeClr val="dk1"/>
              </a:solidFill>
            </a:rPr>
            <a:t>in this workbook</a:t>
          </a:r>
        </a:p>
        <a:p>
          <a:pPr marL="342900" lvl="0" indent="-342900">
            <a:spcAft>
              <a:spcPts val="1200"/>
            </a:spcAft>
            <a:buFont typeface="+mj-lt"/>
            <a:buAutoNum type="arabicPeriod"/>
            <a:defRPr/>
          </a:pPr>
          <a:r>
            <a:rPr lang="en-US" sz="1600">
              <a:solidFill>
                <a:schemeClr val="dk1"/>
              </a:solidFill>
            </a:rPr>
            <a:t>For the Pivot Table on the </a:t>
          </a:r>
          <a:r>
            <a:rPr lang="en-US" sz="1600" b="1">
              <a:solidFill>
                <a:schemeClr val="dk1"/>
              </a:solidFill>
            </a:rPr>
            <a:t>Region Summary </a:t>
          </a:r>
          <a:r>
            <a:rPr lang="en-US" sz="1600">
              <a:solidFill>
                <a:schemeClr val="dk1"/>
              </a:solidFill>
            </a:rPr>
            <a:t>worksheet, sort the Region descending by </a:t>
          </a:r>
          <a:r>
            <a:rPr lang="en-US" sz="1600" b="1">
              <a:solidFill>
                <a:schemeClr val="dk1"/>
              </a:solidFill>
            </a:rPr>
            <a:t>Sum of Population</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Region Summary </a:t>
          </a:r>
          <a:r>
            <a:rPr lang="en-US" sz="1600">
              <a:solidFill>
                <a:schemeClr val="dk1"/>
              </a:solidFill>
            </a:rPr>
            <a:t>worksheet, add a calculated field called “Population Density” to the Pivot Table that is equal to </a:t>
          </a:r>
          <a:r>
            <a:rPr lang="en-US" sz="1600" b="1">
              <a:solidFill>
                <a:schemeClr val="dk1"/>
              </a:solidFill>
            </a:rPr>
            <a:t>Population</a:t>
          </a:r>
          <a:r>
            <a:rPr lang="en-US" sz="1600">
              <a:solidFill>
                <a:schemeClr val="dk1"/>
              </a:solidFill>
            </a:rPr>
            <a:t> divided by </a:t>
          </a:r>
          <a:r>
            <a:rPr lang="en-US" sz="1600" b="1">
              <a:solidFill>
                <a:schemeClr val="dk1"/>
              </a:solidFill>
            </a:rPr>
            <a:t>Area</a:t>
          </a:r>
          <a:endParaRPr lang="en-US" sz="1600" b="1">
            <a:solidFill>
              <a:prstClr val="black">
                <a:lumMod val="85000"/>
                <a:lumOff val="15000"/>
              </a:prstClr>
            </a:solidFill>
          </a:endParaRP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6" name="Google Shape;7890;p302">
          <a:extLst>
            <a:ext uri="{FF2B5EF4-FFF2-40B4-BE49-F238E27FC236}">
              <a16:creationId xmlns:a16="http://schemas.microsoft.com/office/drawing/2014/main" id="{00000000-0008-0000-0A00-000006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7" name="Group 6">
          <a:extLst>
            <a:ext uri="{FF2B5EF4-FFF2-40B4-BE49-F238E27FC236}">
              <a16:creationId xmlns:a16="http://schemas.microsoft.com/office/drawing/2014/main" id="{00000000-0008-0000-0A00-000007000000}"/>
            </a:ext>
          </a:extLst>
        </xdr:cNvPr>
        <xdr:cNvGrpSpPr/>
      </xdr:nvGrpSpPr>
      <xdr:grpSpPr>
        <a:xfrm>
          <a:off x="266721" y="324460"/>
          <a:ext cx="2531584" cy="662266"/>
          <a:chOff x="2656994" y="1676486"/>
          <a:chExt cx="2531584" cy="692746"/>
        </a:xfrm>
      </xdr:grpSpPr>
      <xdr:grpSp>
        <xdr:nvGrpSpPr>
          <xdr:cNvPr id="10" name="Google Shape;7887;p302">
            <a:extLst>
              <a:ext uri="{FF2B5EF4-FFF2-40B4-BE49-F238E27FC236}">
                <a16:creationId xmlns:a16="http://schemas.microsoft.com/office/drawing/2014/main" id="{00000000-0008-0000-0A00-00000A000000}"/>
              </a:ext>
            </a:extLst>
          </xdr:cNvPr>
          <xdr:cNvGrpSpPr/>
        </xdr:nvGrpSpPr>
        <xdr:grpSpPr>
          <a:xfrm>
            <a:off x="3318753" y="1676486"/>
            <a:ext cx="1869825" cy="692746"/>
            <a:chOff x="1613474" y="1288575"/>
            <a:chExt cx="2016340" cy="692746"/>
          </a:xfrm>
        </xdr:grpSpPr>
        <xdr:sp macro="" textlink="">
          <xdr:nvSpPr>
            <xdr:cNvPr id="14" name="Google Shape;7888;p302">
              <a:extLst>
                <a:ext uri="{FF2B5EF4-FFF2-40B4-BE49-F238E27FC236}">
                  <a16:creationId xmlns:a16="http://schemas.microsoft.com/office/drawing/2014/main" id="{00000000-0008-0000-0A00-00000E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5" name="Google Shape;7889;p302">
              <a:extLst>
                <a:ext uri="{FF2B5EF4-FFF2-40B4-BE49-F238E27FC236}">
                  <a16:creationId xmlns:a16="http://schemas.microsoft.com/office/drawing/2014/main" id="{00000000-0008-0000-0A00-00000F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1" name="Group 10">
            <a:extLst>
              <a:ext uri="{FF2B5EF4-FFF2-40B4-BE49-F238E27FC236}">
                <a16:creationId xmlns:a16="http://schemas.microsoft.com/office/drawing/2014/main" id="{00000000-0008-0000-0A00-00000B000000}"/>
              </a:ext>
            </a:extLst>
          </xdr:cNvPr>
          <xdr:cNvGrpSpPr/>
        </xdr:nvGrpSpPr>
        <xdr:grpSpPr>
          <a:xfrm>
            <a:off x="2656994" y="1764113"/>
            <a:ext cx="662579" cy="563931"/>
            <a:chOff x="620960" y="4111492"/>
            <a:chExt cx="644465" cy="548514"/>
          </a:xfrm>
        </xdr:grpSpPr>
        <xdr:sp macro="" textlink="">
          <xdr:nvSpPr>
            <xdr:cNvPr id="12" name="Google Shape;235;p18">
              <a:extLst>
                <a:ext uri="{FF2B5EF4-FFF2-40B4-BE49-F238E27FC236}">
                  <a16:creationId xmlns:a16="http://schemas.microsoft.com/office/drawing/2014/main" id="{00000000-0008-0000-0A00-00000C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3" name="Google Shape;239;p18">
              <a:extLst>
                <a:ext uri="{FF2B5EF4-FFF2-40B4-BE49-F238E27FC236}">
                  <a16:creationId xmlns:a16="http://schemas.microsoft.com/office/drawing/2014/main" id="{00000000-0008-0000-0A00-00000D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8" name="TextBox 35">
          <a:extLst>
            <a:ext uri="{FF2B5EF4-FFF2-40B4-BE49-F238E27FC236}">
              <a16:creationId xmlns:a16="http://schemas.microsoft.com/office/drawing/2014/main" id="{00000000-0008-0000-0A00-000008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9" name="Google Shape;7890;p302">
          <a:extLst>
            <a:ext uri="{FF2B5EF4-FFF2-40B4-BE49-F238E27FC236}">
              <a16:creationId xmlns:a16="http://schemas.microsoft.com/office/drawing/2014/main" id="{00000000-0008-0000-0A00-000009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374299</xdr:colOff>
      <xdr:row>1</xdr:row>
      <xdr:rowOff>0</xdr:rowOff>
    </xdr:from>
    <xdr:to>
      <xdr:col>15</xdr:col>
      <xdr:colOff>29885</xdr:colOff>
      <xdr:row>5</xdr:row>
      <xdr:rowOff>161330</xdr:rowOff>
    </xdr:to>
    <xdr:sp macro="" textlink="">
      <xdr:nvSpPr>
        <xdr:cNvPr id="3" name="TextBox 19">
          <a:extLst>
            <a:ext uri="{FF2B5EF4-FFF2-40B4-BE49-F238E27FC236}">
              <a16:creationId xmlns:a16="http://schemas.microsoft.com/office/drawing/2014/main" id="{00000000-0008-0000-0D00-000003000000}"/>
            </a:ext>
          </a:extLst>
        </xdr:cNvPr>
        <xdr:cNvSpPr txBox="1"/>
      </xdr:nvSpPr>
      <xdr:spPr>
        <a:xfrm>
          <a:off x="3003199" y="190500"/>
          <a:ext cx="5751586"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are the Head of Purchasing at a </a:t>
          </a:r>
          <a:r>
            <a:rPr lang="en-US" b="1">
              <a:solidFill>
                <a:schemeClr val="dk1"/>
              </a:solidFill>
            </a:rPr>
            <a:t>regional winery</a:t>
          </a:r>
          <a:r>
            <a:rPr lang="en-US">
              <a:solidFill>
                <a:schemeClr val="dk1"/>
              </a:solidFill>
            </a:rPr>
            <a:t> and you are preparing an Excel workbook to </a:t>
          </a:r>
          <a:r>
            <a:rPr lang="en-US" b="1">
              <a:solidFill>
                <a:schemeClr val="dk1"/>
              </a:solidFill>
            </a:rPr>
            <a:t>track your current inventory and orders</a:t>
          </a:r>
          <a:endParaRPr lang="en-US">
            <a:solidFill>
              <a:schemeClr val="dk1"/>
            </a:solidFill>
          </a:endParaRPr>
        </a:p>
      </xdr:txBody>
    </xdr:sp>
    <xdr:clientData/>
  </xdr:twoCellAnchor>
  <xdr:twoCellAnchor>
    <xdr:from>
      <xdr:col>1</xdr:col>
      <xdr:colOff>0</xdr:colOff>
      <xdr:row>10</xdr:row>
      <xdr:rowOff>107983</xdr:rowOff>
    </xdr:from>
    <xdr:to>
      <xdr:col>15</xdr:col>
      <xdr:colOff>191548</xdr:colOff>
      <xdr:row>22</xdr:row>
      <xdr:rowOff>99530</xdr:rowOff>
    </xdr:to>
    <xdr:sp macro="" textlink="">
      <xdr:nvSpPr>
        <xdr:cNvPr id="4" name="TextBox 21">
          <a:extLst>
            <a:ext uri="{FF2B5EF4-FFF2-40B4-BE49-F238E27FC236}">
              <a16:creationId xmlns:a16="http://schemas.microsoft.com/office/drawing/2014/main" id="{00000000-0008-0000-0D00-000004000000}"/>
            </a:ext>
          </a:extLst>
        </xdr:cNvPr>
        <xdr:cNvSpPr txBox="1"/>
      </xdr:nvSpPr>
      <xdr:spPr>
        <a:xfrm>
          <a:off x="190500" y="2012983"/>
          <a:ext cx="8725948" cy="227754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In cell </a:t>
          </a:r>
          <a:r>
            <a:rPr lang="en-US" sz="1600" b="1">
              <a:solidFill>
                <a:schemeClr val="dk1"/>
              </a:solidFill>
            </a:rPr>
            <a:t>F2</a:t>
          </a:r>
          <a:r>
            <a:rPr lang="en-US" sz="1600">
              <a:solidFill>
                <a:schemeClr val="dk1"/>
              </a:solidFill>
            </a:rPr>
            <a:t> of the </a:t>
          </a:r>
          <a:r>
            <a:rPr lang="en-US" sz="1600" b="1">
              <a:solidFill>
                <a:schemeClr val="dk1"/>
              </a:solidFill>
            </a:rPr>
            <a:t>Inventory</a:t>
          </a:r>
          <a:r>
            <a:rPr lang="en-US" sz="1600">
              <a:solidFill>
                <a:schemeClr val="dk1"/>
              </a:solidFill>
            </a:rPr>
            <a:t> worksheet, write the year between parenthesis in the </a:t>
          </a:r>
          <a:r>
            <a:rPr lang="en-US" sz="1600" b="1">
              <a:solidFill>
                <a:schemeClr val="dk1"/>
              </a:solidFill>
            </a:rPr>
            <a:t>Name</a:t>
          </a:r>
          <a:r>
            <a:rPr lang="en-US" sz="1600">
              <a:solidFill>
                <a:schemeClr val="dk1"/>
              </a:solidFill>
            </a:rPr>
            <a:t> column and use Flash Fill to fill in the year for the rest of the wines in the inventory</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Inventory </a:t>
          </a:r>
          <a:r>
            <a:rPr lang="en-US" sz="1600">
              <a:solidFill>
                <a:schemeClr val="dk1"/>
              </a:solidFill>
            </a:rPr>
            <a:t>worksheet, create a formula based conditional formatting rule to range </a:t>
          </a:r>
          <a:r>
            <a:rPr lang="en-US" sz="1600" b="1">
              <a:solidFill>
                <a:schemeClr val="dk1"/>
              </a:solidFill>
            </a:rPr>
            <a:t>A2:I101</a:t>
          </a:r>
          <a:r>
            <a:rPr lang="en-US" sz="1600">
              <a:solidFill>
                <a:schemeClr val="dk1"/>
              </a:solidFill>
            </a:rPr>
            <a:t> that applies a bold font and light orange fill to rows where the </a:t>
          </a:r>
          <a:r>
            <a:rPr lang="en-US" sz="1600" b="1">
              <a:solidFill>
                <a:schemeClr val="dk1"/>
              </a:solidFill>
            </a:rPr>
            <a:t>Stock on Hand </a:t>
          </a:r>
          <a:r>
            <a:rPr lang="en-US" sz="1600">
              <a:solidFill>
                <a:schemeClr val="dk1"/>
              </a:solidFill>
            </a:rPr>
            <a:t>is less than or equal to the </a:t>
          </a:r>
          <a:r>
            <a:rPr lang="en-US" sz="1600" b="1">
              <a:solidFill>
                <a:schemeClr val="dk1"/>
              </a:solidFill>
            </a:rPr>
            <a:t>Reorder Quantity</a:t>
          </a:r>
          <a:endParaRPr lang="en-US" sz="1600">
            <a:solidFill>
              <a:schemeClr val="dk1"/>
            </a:solidFill>
          </a:endParaRP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Order Tracker </a:t>
          </a:r>
          <a:r>
            <a:rPr lang="en-US" sz="1600">
              <a:solidFill>
                <a:schemeClr val="dk1"/>
              </a:solidFill>
            </a:rPr>
            <a:t>worksheet, add a formula in cell </a:t>
          </a:r>
          <a:r>
            <a:rPr lang="en-US" sz="1600" b="1">
              <a:solidFill>
                <a:schemeClr val="dk1"/>
              </a:solidFill>
            </a:rPr>
            <a:t>B5 </a:t>
          </a:r>
          <a:r>
            <a:rPr lang="en-US" sz="1600">
              <a:solidFill>
                <a:schemeClr val="dk1"/>
              </a:solidFill>
            </a:rPr>
            <a:t>to calculate the arrival date for the order</a:t>
          </a:r>
          <a:endParaRPr lang="en-US" sz="1600" b="1">
            <a:solidFill>
              <a:schemeClr val="dk1"/>
            </a:solidFill>
          </a:endParaRPr>
        </a:p>
        <a:p>
          <a:pPr marL="342900" lvl="0" indent="-342900">
            <a:spcAft>
              <a:spcPts val="1200"/>
            </a:spcAft>
            <a:buFont typeface="+mj-lt"/>
            <a:buAutoNum type="arabicPeriod"/>
            <a:defRPr/>
          </a:pPr>
          <a:r>
            <a:rPr lang="en-US" sz="1600">
              <a:solidFill>
                <a:schemeClr val="dk1"/>
              </a:solidFill>
            </a:rPr>
            <a:t>Protect the workbook so users cannot add, edit, or delete worksheets using password </a:t>
          </a:r>
          <a:r>
            <a:rPr lang="en-US" sz="1600" b="1">
              <a:solidFill>
                <a:schemeClr val="dk1"/>
              </a:solidFill>
            </a:rPr>
            <a:t>12345</a:t>
          </a: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5" name="Google Shape;7890;p302">
          <a:extLst>
            <a:ext uri="{FF2B5EF4-FFF2-40B4-BE49-F238E27FC236}">
              <a16:creationId xmlns:a16="http://schemas.microsoft.com/office/drawing/2014/main" id="{00000000-0008-0000-0D00-000005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6" name="Group 5">
          <a:extLst>
            <a:ext uri="{FF2B5EF4-FFF2-40B4-BE49-F238E27FC236}">
              <a16:creationId xmlns:a16="http://schemas.microsoft.com/office/drawing/2014/main" id="{00000000-0008-0000-0D00-000006000000}"/>
            </a:ext>
          </a:extLst>
        </xdr:cNvPr>
        <xdr:cNvGrpSpPr/>
      </xdr:nvGrpSpPr>
      <xdr:grpSpPr>
        <a:xfrm>
          <a:off x="266721" y="324460"/>
          <a:ext cx="2531584" cy="662266"/>
          <a:chOff x="2656994" y="1676486"/>
          <a:chExt cx="2531584" cy="692746"/>
        </a:xfrm>
      </xdr:grpSpPr>
      <xdr:grpSp>
        <xdr:nvGrpSpPr>
          <xdr:cNvPr id="9" name="Google Shape;7887;p302">
            <a:extLst>
              <a:ext uri="{FF2B5EF4-FFF2-40B4-BE49-F238E27FC236}">
                <a16:creationId xmlns:a16="http://schemas.microsoft.com/office/drawing/2014/main" id="{00000000-0008-0000-0D00-000009000000}"/>
              </a:ext>
            </a:extLst>
          </xdr:cNvPr>
          <xdr:cNvGrpSpPr/>
        </xdr:nvGrpSpPr>
        <xdr:grpSpPr>
          <a:xfrm>
            <a:off x="3318753" y="1676486"/>
            <a:ext cx="1869825" cy="692746"/>
            <a:chOff x="1613474" y="1288575"/>
            <a:chExt cx="2016340" cy="692746"/>
          </a:xfrm>
        </xdr:grpSpPr>
        <xdr:sp macro="" textlink="">
          <xdr:nvSpPr>
            <xdr:cNvPr id="13" name="Google Shape;7888;p302">
              <a:extLst>
                <a:ext uri="{FF2B5EF4-FFF2-40B4-BE49-F238E27FC236}">
                  <a16:creationId xmlns:a16="http://schemas.microsoft.com/office/drawing/2014/main" id="{00000000-0008-0000-0D00-00000D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4" name="Google Shape;7889;p302">
              <a:extLst>
                <a:ext uri="{FF2B5EF4-FFF2-40B4-BE49-F238E27FC236}">
                  <a16:creationId xmlns:a16="http://schemas.microsoft.com/office/drawing/2014/main" id="{00000000-0008-0000-0D00-00000E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0" name="Group 9">
            <a:extLst>
              <a:ext uri="{FF2B5EF4-FFF2-40B4-BE49-F238E27FC236}">
                <a16:creationId xmlns:a16="http://schemas.microsoft.com/office/drawing/2014/main" id="{00000000-0008-0000-0D00-00000A000000}"/>
              </a:ext>
            </a:extLst>
          </xdr:cNvPr>
          <xdr:cNvGrpSpPr/>
        </xdr:nvGrpSpPr>
        <xdr:grpSpPr>
          <a:xfrm>
            <a:off x="2656994" y="1764113"/>
            <a:ext cx="662579" cy="563931"/>
            <a:chOff x="620960" y="4111492"/>
            <a:chExt cx="644465" cy="548514"/>
          </a:xfrm>
        </xdr:grpSpPr>
        <xdr:sp macro="" textlink="">
          <xdr:nvSpPr>
            <xdr:cNvPr id="11" name="Google Shape;235;p18">
              <a:extLst>
                <a:ext uri="{FF2B5EF4-FFF2-40B4-BE49-F238E27FC236}">
                  <a16:creationId xmlns:a16="http://schemas.microsoft.com/office/drawing/2014/main" id="{00000000-0008-0000-0D00-00000B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2" name="Google Shape;239;p18">
              <a:extLst>
                <a:ext uri="{FF2B5EF4-FFF2-40B4-BE49-F238E27FC236}">
                  <a16:creationId xmlns:a16="http://schemas.microsoft.com/office/drawing/2014/main" id="{00000000-0008-0000-0D00-00000C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7" name="TextBox 35">
          <a:extLst>
            <a:ext uri="{FF2B5EF4-FFF2-40B4-BE49-F238E27FC236}">
              <a16:creationId xmlns:a16="http://schemas.microsoft.com/office/drawing/2014/main" id="{00000000-0008-0000-0D00-000007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8" name="Google Shape;7890;p302">
          <a:extLst>
            <a:ext uri="{FF2B5EF4-FFF2-40B4-BE49-F238E27FC236}">
              <a16:creationId xmlns:a16="http://schemas.microsoft.com/office/drawing/2014/main" id="{00000000-0008-0000-0D00-000008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3" name="TextBox 19">
          <a:extLst>
            <a:ext uri="{FF2B5EF4-FFF2-40B4-BE49-F238E27FC236}">
              <a16:creationId xmlns:a16="http://schemas.microsoft.com/office/drawing/2014/main" id="{00000000-0008-0000-1000-000003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Aft>
              <a:spcPts val="1800"/>
            </a:spcAft>
            <a:defRPr/>
          </a:pPr>
          <a:r>
            <a:rPr lang="en-US">
              <a:solidFill>
                <a:schemeClr val="dk1"/>
              </a:solidFill>
            </a:rPr>
            <a:t>You’ve been hired as an analyst by a </a:t>
          </a:r>
          <a:r>
            <a:rPr lang="en-US" b="1">
              <a:solidFill>
                <a:schemeClr val="dk1"/>
              </a:solidFill>
            </a:rPr>
            <a:t>coffee roasting company</a:t>
          </a:r>
          <a:r>
            <a:rPr lang="en-US">
              <a:solidFill>
                <a:schemeClr val="dk1"/>
              </a:solidFill>
            </a:rPr>
            <a:t> and you are preparing a workbook to </a:t>
          </a:r>
          <a:r>
            <a:rPr lang="en-US" b="1">
              <a:solidFill>
                <a:schemeClr val="dk1"/>
              </a:solidFill>
            </a:rPr>
            <a:t>compare sales across stores and product categories</a:t>
          </a:r>
          <a:endParaRPr lang="en-US">
            <a:solidFill>
              <a:schemeClr val="dk1"/>
            </a:solidFill>
          </a:endParaRPr>
        </a:p>
      </xdr:txBody>
    </xdr:sp>
    <xdr:clientData/>
  </xdr:twoCellAnchor>
  <xdr:twoCellAnchor>
    <xdr:from>
      <xdr:col>1</xdr:col>
      <xdr:colOff>0</xdr:colOff>
      <xdr:row>10</xdr:row>
      <xdr:rowOff>107983</xdr:rowOff>
    </xdr:from>
    <xdr:to>
      <xdr:col>15</xdr:col>
      <xdr:colOff>191548</xdr:colOff>
      <xdr:row>25</xdr:row>
      <xdr:rowOff>20472</xdr:rowOff>
    </xdr:to>
    <xdr:sp macro="" textlink="">
      <xdr:nvSpPr>
        <xdr:cNvPr id="4" name="TextBox 21">
          <a:extLst>
            <a:ext uri="{FF2B5EF4-FFF2-40B4-BE49-F238E27FC236}">
              <a16:creationId xmlns:a16="http://schemas.microsoft.com/office/drawing/2014/main" id="{00000000-0008-0000-1000-000004000000}"/>
            </a:ext>
          </a:extLst>
        </xdr:cNvPr>
        <xdr:cNvSpPr txBox="1"/>
      </xdr:nvSpPr>
      <xdr:spPr>
        <a:xfrm>
          <a:off x="190500" y="2012983"/>
          <a:ext cx="8725948" cy="276998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Product Sales</a:t>
          </a:r>
          <a:r>
            <a:rPr lang="en-US" sz="1600">
              <a:solidFill>
                <a:schemeClr val="dk1"/>
              </a:solidFill>
            </a:rPr>
            <a:t> worksheet, insert a Subtotal that calculates the Sum on the </a:t>
          </a:r>
          <a:r>
            <a:rPr lang="en-US" sz="1600" b="1">
              <a:solidFill>
                <a:schemeClr val="dk1"/>
              </a:solidFill>
            </a:rPr>
            <a:t>Units Sold </a:t>
          </a:r>
          <a:r>
            <a:rPr lang="en-US" sz="1600">
              <a:solidFill>
                <a:schemeClr val="dk1"/>
              </a:solidFill>
            </a:rPr>
            <a:t>and </a:t>
          </a:r>
          <a:r>
            <a:rPr lang="en-US" sz="1600" b="1">
              <a:solidFill>
                <a:schemeClr val="dk1"/>
              </a:solidFill>
            </a:rPr>
            <a:t>Sales</a:t>
          </a:r>
          <a:r>
            <a:rPr lang="en-US" sz="1600">
              <a:solidFill>
                <a:schemeClr val="dk1"/>
              </a:solidFill>
            </a:rPr>
            <a:t> columns for each </a:t>
          </a:r>
          <a:r>
            <a:rPr lang="en-US" sz="1600" b="1">
              <a:solidFill>
                <a:schemeClr val="dk1"/>
              </a:solidFill>
            </a:rPr>
            <a:t>Product Group</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Sales by Store </a:t>
          </a:r>
          <a:r>
            <a:rPr lang="en-US" sz="1600">
              <a:solidFill>
                <a:schemeClr val="dk1"/>
              </a:solidFill>
            </a:rPr>
            <a:t>worksheet, consolidate the quarterly sales figures for all 3 stores in the </a:t>
          </a:r>
          <a:r>
            <a:rPr lang="en-US" sz="1600" b="1">
              <a:solidFill>
                <a:schemeClr val="dk1"/>
              </a:solidFill>
            </a:rPr>
            <a:t>NYC Totals </a:t>
          </a:r>
          <a:r>
            <a:rPr lang="en-US" sz="1600">
              <a:solidFill>
                <a:schemeClr val="dk1"/>
              </a:solidFill>
            </a:rPr>
            <a:t>table using a Sum</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New Product </a:t>
          </a:r>
          <a:r>
            <a:rPr lang="en-US" sz="1600">
              <a:solidFill>
                <a:schemeClr val="dk1"/>
              </a:solidFill>
            </a:rPr>
            <a:t>worksheet, add a custom number format for cell </a:t>
          </a:r>
          <a:r>
            <a:rPr lang="en-US" sz="1600" b="1">
              <a:solidFill>
                <a:schemeClr val="dk1"/>
              </a:solidFill>
            </a:rPr>
            <a:t>B8</a:t>
          </a:r>
          <a:r>
            <a:rPr lang="en-US" sz="1600">
              <a:solidFill>
                <a:schemeClr val="dk1"/>
              </a:solidFill>
            </a:rPr>
            <a:t> so that positive values have a dollar sign ($), a thousand separator and no decimal points; for negative values use the same format but wrap the number in parenthesis and give it a red font</a:t>
          </a:r>
          <a:endParaRPr lang="en-US" sz="1600" b="1">
            <a:solidFill>
              <a:schemeClr val="dk1"/>
            </a:solidFill>
          </a:endParaRPr>
        </a:p>
        <a:p>
          <a:pPr marL="342900" lvl="0" indent="-342900">
            <a:spcAft>
              <a:spcPts val="1200"/>
            </a:spcAft>
            <a:buFont typeface="+mj-lt"/>
            <a:buAutoNum type="arabicPeriod"/>
            <a:defRPr/>
          </a:pPr>
          <a:r>
            <a:rPr lang="en-US" sz="1600">
              <a:solidFill>
                <a:schemeClr val="dk1"/>
              </a:solidFill>
            </a:rPr>
            <a:t>Use an Excel forecasting tool in cell </a:t>
          </a:r>
          <a:r>
            <a:rPr lang="en-US" sz="1600" b="1">
              <a:solidFill>
                <a:schemeClr val="dk1"/>
              </a:solidFill>
            </a:rPr>
            <a:t>B6</a:t>
          </a:r>
          <a:r>
            <a:rPr lang="en-US" sz="1600">
              <a:solidFill>
                <a:schemeClr val="dk1"/>
              </a:solidFill>
            </a:rPr>
            <a:t> on the </a:t>
          </a:r>
          <a:r>
            <a:rPr lang="en-US" sz="1600" b="1">
              <a:solidFill>
                <a:schemeClr val="dk1"/>
              </a:solidFill>
            </a:rPr>
            <a:t>New Product</a:t>
          </a:r>
          <a:r>
            <a:rPr lang="en-US" sz="1600">
              <a:solidFill>
                <a:schemeClr val="dk1"/>
              </a:solidFill>
            </a:rPr>
            <a:t> worksheet to calculate the </a:t>
          </a:r>
          <a:r>
            <a:rPr lang="en-US" sz="1600" b="1">
              <a:solidFill>
                <a:schemeClr val="dk1"/>
              </a:solidFill>
            </a:rPr>
            <a:t>Units Sold </a:t>
          </a:r>
          <a:r>
            <a:rPr lang="en-US" sz="1600">
              <a:solidFill>
                <a:schemeClr val="dk1"/>
              </a:solidFill>
            </a:rPr>
            <a:t>that will result in a </a:t>
          </a:r>
          <a:r>
            <a:rPr lang="en-US" sz="1600" b="1">
              <a:solidFill>
                <a:schemeClr val="dk1"/>
              </a:solidFill>
            </a:rPr>
            <a:t>Profit</a:t>
          </a:r>
          <a:r>
            <a:rPr lang="en-US" sz="1600">
              <a:solidFill>
                <a:schemeClr val="dk1"/>
              </a:solidFill>
            </a:rPr>
            <a:t> of </a:t>
          </a:r>
          <a:r>
            <a:rPr lang="en-US" sz="1600" b="1">
              <a:solidFill>
                <a:schemeClr val="dk1"/>
              </a:solidFill>
            </a:rPr>
            <a:t>$3,000</a:t>
          </a: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5" name="Google Shape;7890;p302">
          <a:extLst>
            <a:ext uri="{FF2B5EF4-FFF2-40B4-BE49-F238E27FC236}">
              <a16:creationId xmlns:a16="http://schemas.microsoft.com/office/drawing/2014/main" id="{00000000-0008-0000-1000-000005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6" name="Group 5">
          <a:extLst>
            <a:ext uri="{FF2B5EF4-FFF2-40B4-BE49-F238E27FC236}">
              <a16:creationId xmlns:a16="http://schemas.microsoft.com/office/drawing/2014/main" id="{00000000-0008-0000-1000-000006000000}"/>
            </a:ext>
          </a:extLst>
        </xdr:cNvPr>
        <xdr:cNvGrpSpPr/>
      </xdr:nvGrpSpPr>
      <xdr:grpSpPr>
        <a:xfrm>
          <a:off x="266721" y="320650"/>
          <a:ext cx="2535394" cy="654646"/>
          <a:chOff x="2656994" y="1676486"/>
          <a:chExt cx="2531584" cy="692746"/>
        </a:xfrm>
      </xdr:grpSpPr>
      <xdr:grpSp>
        <xdr:nvGrpSpPr>
          <xdr:cNvPr id="9" name="Google Shape;7887;p302">
            <a:extLst>
              <a:ext uri="{FF2B5EF4-FFF2-40B4-BE49-F238E27FC236}">
                <a16:creationId xmlns:a16="http://schemas.microsoft.com/office/drawing/2014/main" id="{00000000-0008-0000-1000-000009000000}"/>
              </a:ext>
            </a:extLst>
          </xdr:cNvPr>
          <xdr:cNvGrpSpPr/>
        </xdr:nvGrpSpPr>
        <xdr:grpSpPr>
          <a:xfrm>
            <a:off x="3318753" y="1676486"/>
            <a:ext cx="1869825" cy="692746"/>
            <a:chOff x="1613474" y="1288575"/>
            <a:chExt cx="2016340" cy="692746"/>
          </a:xfrm>
        </xdr:grpSpPr>
        <xdr:sp macro="" textlink="">
          <xdr:nvSpPr>
            <xdr:cNvPr id="13" name="Google Shape;7888;p302">
              <a:extLst>
                <a:ext uri="{FF2B5EF4-FFF2-40B4-BE49-F238E27FC236}">
                  <a16:creationId xmlns:a16="http://schemas.microsoft.com/office/drawing/2014/main" id="{00000000-0008-0000-1000-00000D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4" name="Google Shape;7889;p302">
              <a:extLst>
                <a:ext uri="{FF2B5EF4-FFF2-40B4-BE49-F238E27FC236}">
                  <a16:creationId xmlns:a16="http://schemas.microsoft.com/office/drawing/2014/main" id="{00000000-0008-0000-1000-00000E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0" name="Group 9">
            <a:extLst>
              <a:ext uri="{FF2B5EF4-FFF2-40B4-BE49-F238E27FC236}">
                <a16:creationId xmlns:a16="http://schemas.microsoft.com/office/drawing/2014/main" id="{00000000-0008-0000-1000-00000A000000}"/>
              </a:ext>
            </a:extLst>
          </xdr:cNvPr>
          <xdr:cNvGrpSpPr/>
        </xdr:nvGrpSpPr>
        <xdr:grpSpPr>
          <a:xfrm>
            <a:off x="2656994" y="1764113"/>
            <a:ext cx="662579" cy="563931"/>
            <a:chOff x="620960" y="4111492"/>
            <a:chExt cx="644465" cy="548514"/>
          </a:xfrm>
        </xdr:grpSpPr>
        <xdr:sp macro="" textlink="">
          <xdr:nvSpPr>
            <xdr:cNvPr id="11" name="Google Shape;235;p18">
              <a:extLst>
                <a:ext uri="{FF2B5EF4-FFF2-40B4-BE49-F238E27FC236}">
                  <a16:creationId xmlns:a16="http://schemas.microsoft.com/office/drawing/2014/main" id="{00000000-0008-0000-1000-00000B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2" name="Google Shape;239;p18">
              <a:extLst>
                <a:ext uri="{FF2B5EF4-FFF2-40B4-BE49-F238E27FC236}">
                  <a16:creationId xmlns:a16="http://schemas.microsoft.com/office/drawing/2014/main" id="{00000000-0008-0000-1000-00000C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7" name="TextBox 35">
          <a:extLst>
            <a:ext uri="{FF2B5EF4-FFF2-40B4-BE49-F238E27FC236}">
              <a16:creationId xmlns:a16="http://schemas.microsoft.com/office/drawing/2014/main" id="{00000000-0008-0000-1000-000007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8" name="Google Shape;7890;p302">
          <a:extLst>
            <a:ext uri="{FF2B5EF4-FFF2-40B4-BE49-F238E27FC236}">
              <a16:creationId xmlns:a16="http://schemas.microsoft.com/office/drawing/2014/main" id="{00000000-0008-0000-1000-000008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3" name="TextBox 19">
          <a:extLst>
            <a:ext uri="{FF2B5EF4-FFF2-40B4-BE49-F238E27FC236}">
              <a16:creationId xmlns:a16="http://schemas.microsoft.com/office/drawing/2014/main" id="{00000000-0008-0000-1400-000003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Aft>
              <a:spcPts val="1800"/>
            </a:spcAft>
            <a:defRPr/>
          </a:pPr>
          <a:r>
            <a:rPr lang="en-US">
              <a:solidFill>
                <a:schemeClr val="dk1"/>
              </a:solidFill>
            </a:rPr>
            <a:t>You’ve been contracted to </a:t>
          </a:r>
          <a:r>
            <a:rPr lang="en-US" b="1">
              <a:solidFill>
                <a:schemeClr val="dk1"/>
              </a:solidFill>
            </a:rPr>
            <a:t>track traffic accidents in New York City, </a:t>
          </a:r>
          <a:r>
            <a:rPr lang="en-US">
              <a:solidFill>
                <a:schemeClr val="dk1"/>
              </a:solidFill>
            </a:rPr>
            <a:t>and you are preparing a workbook to </a:t>
          </a:r>
          <a:r>
            <a:rPr lang="en-US" b="1">
              <a:solidFill>
                <a:schemeClr val="dk1"/>
              </a:solidFill>
            </a:rPr>
            <a:t>analyze monthly trends and contributing factors</a:t>
          </a:r>
          <a:endParaRPr lang="en-US">
            <a:solidFill>
              <a:schemeClr val="dk1"/>
            </a:solidFill>
          </a:endParaRPr>
        </a:p>
      </xdr:txBody>
    </xdr:sp>
    <xdr:clientData/>
  </xdr:twoCellAnchor>
  <xdr:twoCellAnchor>
    <xdr:from>
      <xdr:col>1</xdr:col>
      <xdr:colOff>0</xdr:colOff>
      <xdr:row>10</xdr:row>
      <xdr:rowOff>107983</xdr:rowOff>
    </xdr:from>
    <xdr:to>
      <xdr:col>15</xdr:col>
      <xdr:colOff>49760</xdr:colOff>
      <xdr:row>21</xdr:row>
      <xdr:rowOff>136141</xdr:rowOff>
    </xdr:to>
    <xdr:sp macro="" textlink="">
      <xdr:nvSpPr>
        <xdr:cNvPr id="4" name="TextBox 21">
          <a:extLst>
            <a:ext uri="{FF2B5EF4-FFF2-40B4-BE49-F238E27FC236}">
              <a16:creationId xmlns:a16="http://schemas.microsoft.com/office/drawing/2014/main" id="{00000000-0008-0000-1400-000004000000}"/>
            </a:ext>
          </a:extLst>
        </xdr:cNvPr>
        <xdr:cNvSpPr txBox="1"/>
      </xdr:nvSpPr>
      <xdr:spPr>
        <a:xfrm>
          <a:off x="190500" y="2012983"/>
          <a:ext cx="8584160" cy="2123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Van Collisions</a:t>
          </a:r>
          <a:r>
            <a:rPr lang="en-US" sz="1600">
              <a:solidFill>
                <a:schemeClr val="dk1"/>
              </a:solidFill>
            </a:rPr>
            <a:t> worksheet, record a macro named “TableHeader” with Ctrl+Shift+T as the Shortcut key that selects range </a:t>
          </a:r>
          <a:r>
            <a:rPr lang="en-US" sz="1600" b="1">
              <a:solidFill>
                <a:schemeClr val="dk1"/>
              </a:solidFill>
            </a:rPr>
            <a:t>A1:F1</a:t>
          </a:r>
          <a:r>
            <a:rPr lang="en-US" sz="1600">
              <a:solidFill>
                <a:schemeClr val="dk1"/>
              </a:solidFill>
            </a:rPr>
            <a:t>, makes the </a:t>
          </a:r>
          <a:r>
            <a:rPr lang="en-US" sz="1600" b="1">
              <a:solidFill>
                <a:schemeClr val="dk1"/>
              </a:solidFill>
            </a:rPr>
            <a:t>font bold</a:t>
          </a:r>
          <a:r>
            <a:rPr lang="en-US" sz="1600">
              <a:solidFill>
                <a:schemeClr val="dk1"/>
              </a:solidFill>
            </a:rPr>
            <a:t> and </a:t>
          </a:r>
          <a:r>
            <a:rPr lang="en-US" sz="1600" b="1">
              <a:solidFill>
                <a:schemeClr val="dk1"/>
              </a:solidFill>
            </a:rPr>
            <a:t>size 14pt</a:t>
          </a:r>
          <a:r>
            <a:rPr lang="en-US" sz="1600">
              <a:solidFill>
                <a:schemeClr val="dk1"/>
              </a:solidFill>
            </a:rPr>
            <a:t>, and </a:t>
          </a:r>
          <a:r>
            <a:rPr lang="en-US" sz="1600" b="1">
              <a:solidFill>
                <a:schemeClr val="dk1"/>
              </a:solidFill>
            </a:rPr>
            <a:t>merges &amp; centers </a:t>
          </a:r>
          <a:r>
            <a:rPr lang="en-US" sz="1600">
              <a:solidFill>
                <a:schemeClr val="dk1"/>
              </a:solidFill>
            </a:rPr>
            <a:t>the selection; run the macro using the Shortcut on the </a:t>
          </a:r>
          <a:r>
            <a:rPr lang="en-US" sz="1600" b="1">
              <a:solidFill>
                <a:schemeClr val="dk1"/>
              </a:solidFill>
            </a:rPr>
            <a:t>Taxi Collisions</a:t>
          </a:r>
          <a:r>
            <a:rPr lang="en-US" sz="1600">
              <a:solidFill>
                <a:schemeClr val="dk1"/>
              </a:solidFill>
            </a:rPr>
            <a:t> worksheet</a:t>
          </a:r>
          <a:endParaRPr lang="en-US" sz="1600" b="1">
            <a:solidFill>
              <a:schemeClr val="dk1"/>
            </a:solidFill>
          </a:endParaRP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Monthly Trend </a:t>
          </a:r>
          <a:r>
            <a:rPr lang="en-US" sz="1600">
              <a:solidFill>
                <a:schemeClr val="dk1"/>
              </a:solidFill>
            </a:rPr>
            <a:t>worksheet, add a chart that shows the </a:t>
          </a:r>
          <a:r>
            <a:rPr lang="en-US" sz="1600" b="1">
              <a:solidFill>
                <a:schemeClr val="dk1"/>
              </a:solidFill>
            </a:rPr>
            <a:t>Collisions,</a:t>
          </a:r>
          <a:r>
            <a:rPr lang="en-US" sz="1600">
              <a:solidFill>
                <a:schemeClr val="dk1"/>
              </a:solidFill>
            </a:rPr>
            <a:t> as a clustered column chart, and the </a:t>
          </a:r>
          <a:r>
            <a:rPr lang="en-US" sz="1600" b="1">
              <a:solidFill>
                <a:schemeClr val="dk1"/>
              </a:solidFill>
            </a:rPr>
            <a:t>Injury %</a:t>
          </a:r>
          <a:r>
            <a:rPr lang="en-US" sz="1600">
              <a:solidFill>
                <a:schemeClr val="dk1"/>
              </a:solidFill>
            </a:rPr>
            <a:t>,</a:t>
          </a:r>
          <a:r>
            <a:rPr lang="en-US" sz="1600" b="1">
              <a:solidFill>
                <a:schemeClr val="dk1"/>
              </a:solidFill>
            </a:rPr>
            <a:t> </a:t>
          </a:r>
          <a:r>
            <a:rPr lang="en-US" sz="1600">
              <a:solidFill>
                <a:schemeClr val="dk1"/>
              </a:solidFill>
            </a:rPr>
            <a:t>as a line chart on a secondary axis, by </a:t>
          </a:r>
          <a:r>
            <a:rPr lang="en-US" sz="1600" b="1">
              <a:solidFill>
                <a:schemeClr val="dk1"/>
              </a:solidFill>
            </a:rPr>
            <a:t>Month</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Collision Causes </a:t>
          </a:r>
          <a:r>
            <a:rPr lang="en-US" sz="1600">
              <a:solidFill>
                <a:schemeClr val="dk1"/>
              </a:solidFill>
            </a:rPr>
            <a:t>worksheet, show values as </a:t>
          </a:r>
          <a:r>
            <a:rPr lang="en-US" sz="1600" b="1">
              <a:solidFill>
                <a:schemeClr val="dk1"/>
              </a:solidFill>
            </a:rPr>
            <a:t>% of Column Total </a:t>
          </a:r>
          <a:r>
            <a:rPr lang="en-US" sz="1600">
              <a:solidFill>
                <a:schemeClr val="dk1"/>
              </a:solidFill>
            </a:rPr>
            <a:t>for the </a:t>
          </a:r>
          <a:r>
            <a:rPr lang="en-US" sz="1600" b="1">
              <a:solidFill>
                <a:schemeClr val="dk1"/>
              </a:solidFill>
            </a:rPr>
            <a:t>Sum of # of Persons Injured</a:t>
          </a: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5" name="Google Shape;7890;p302">
          <a:extLst>
            <a:ext uri="{FF2B5EF4-FFF2-40B4-BE49-F238E27FC236}">
              <a16:creationId xmlns:a16="http://schemas.microsoft.com/office/drawing/2014/main" id="{00000000-0008-0000-1400-000005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6" name="Group 5">
          <a:extLst>
            <a:ext uri="{FF2B5EF4-FFF2-40B4-BE49-F238E27FC236}">
              <a16:creationId xmlns:a16="http://schemas.microsoft.com/office/drawing/2014/main" id="{00000000-0008-0000-1400-000006000000}"/>
            </a:ext>
          </a:extLst>
        </xdr:cNvPr>
        <xdr:cNvGrpSpPr/>
      </xdr:nvGrpSpPr>
      <xdr:grpSpPr>
        <a:xfrm>
          <a:off x="266721" y="324460"/>
          <a:ext cx="2531584" cy="662266"/>
          <a:chOff x="2656994" y="1676486"/>
          <a:chExt cx="2531584" cy="692746"/>
        </a:xfrm>
      </xdr:grpSpPr>
      <xdr:grpSp>
        <xdr:nvGrpSpPr>
          <xdr:cNvPr id="9" name="Google Shape;7887;p302">
            <a:extLst>
              <a:ext uri="{FF2B5EF4-FFF2-40B4-BE49-F238E27FC236}">
                <a16:creationId xmlns:a16="http://schemas.microsoft.com/office/drawing/2014/main" id="{00000000-0008-0000-1400-000009000000}"/>
              </a:ext>
            </a:extLst>
          </xdr:cNvPr>
          <xdr:cNvGrpSpPr/>
        </xdr:nvGrpSpPr>
        <xdr:grpSpPr>
          <a:xfrm>
            <a:off x="3318753" y="1676486"/>
            <a:ext cx="1869825" cy="692746"/>
            <a:chOff x="1613474" y="1288575"/>
            <a:chExt cx="2016340" cy="692746"/>
          </a:xfrm>
        </xdr:grpSpPr>
        <xdr:sp macro="" textlink="">
          <xdr:nvSpPr>
            <xdr:cNvPr id="13" name="Google Shape;7888;p302">
              <a:extLst>
                <a:ext uri="{FF2B5EF4-FFF2-40B4-BE49-F238E27FC236}">
                  <a16:creationId xmlns:a16="http://schemas.microsoft.com/office/drawing/2014/main" id="{00000000-0008-0000-1400-00000D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4" name="Google Shape;7889;p302">
              <a:extLst>
                <a:ext uri="{FF2B5EF4-FFF2-40B4-BE49-F238E27FC236}">
                  <a16:creationId xmlns:a16="http://schemas.microsoft.com/office/drawing/2014/main" id="{00000000-0008-0000-1400-00000E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0" name="Group 9">
            <a:extLst>
              <a:ext uri="{FF2B5EF4-FFF2-40B4-BE49-F238E27FC236}">
                <a16:creationId xmlns:a16="http://schemas.microsoft.com/office/drawing/2014/main" id="{00000000-0008-0000-1400-00000A000000}"/>
              </a:ext>
            </a:extLst>
          </xdr:cNvPr>
          <xdr:cNvGrpSpPr/>
        </xdr:nvGrpSpPr>
        <xdr:grpSpPr>
          <a:xfrm>
            <a:off x="2656994" y="1764113"/>
            <a:ext cx="662579" cy="563931"/>
            <a:chOff x="620960" y="4111492"/>
            <a:chExt cx="644465" cy="548514"/>
          </a:xfrm>
        </xdr:grpSpPr>
        <xdr:sp macro="" textlink="">
          <xdr:nvSpPr>
            <xdr:cNvPr id="11" name="Google Shape;235;p18">
              <a:extLst>
                <a:ext uri="{FF2B5EF4-FFF2-40B4-BE49-F238E27FC236}">
                  <a16:creationId xmlns:a16="http://schemas.microsoft.com/office/drawing/2014/main" id="{00000000-0008-0000-1400-00000B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2" name="Google Shape;239;p18">
              <a:extLst>
                <a:ext uri="{FF2B5EF4-FFF2-40B4-BE49-F238E27FC236}">
                  <a16:creationId xmlns:a16="http://schemas.microsoft.com/office/drawing/2014/main" id="{00000000-0008-0000-1400-00000C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7" name="TextBox 35">
          <a:extLst>
            <a:ext uri="{FF2B5EF4-FFF2-40B4-BE49-F238E27FC236}">
              <a16:creationId xmlns:a16="http://schemas.microsoft.com/office/drawing/2014/main" id="{00000000-0008-0000-1400-000007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8" name="Google Shape;7890;p302">
          <a:extLst>
            <a:ext uri="{FF2B5EF4-FFF2-40B4-BE49-F238E27FC236}">
              <a16:creationId xmlns:a16="http://schemas.microsoft.com/office/drawing/2014/main" id="{00000000-0008-0000-1400-000008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85725</xdr:colOff>
      <xdr:row>0</xdr:row>
      <xdr:rowOff>136207</xdr:rowOff>
    </xdr:from>
    <xdr:to>
      <xdr:col>11</xdr:col>
      <xdr:colOff>390525</xdr:colOff>
      <xdr:row>15</xdr:row>
      <xdr:rowOff>162877</xdr:rowOff>
    </xdr:to>
    <xdr:graphicFrame macro="">
      <xdr:nvGraphicFramePr>
        <xdr:cNvPr id="2" name="Chart 1">
          <a:extLst>
            <a:ext uri="{FF2B5EF4-FFF2-40B4-BE49-F238E27FC236}">
              <a16:creationId xmlns:a16="http://schemas.microsoft.com/office/drawing/2014/main" id="{BF54356F-17C9-F257-276C-FA37B134C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rique Ruiz" refreshedDate="44111.413478009257" createdVersion="6" refreshedVersion="6" minRefreshableVersion="3" recordCount="200" xr:uid="{00000000-000A-0000-FFFF-FFFF06000000}">
  <cacheSource type="worksheet">
    <worksheetSource ref="A1:I201" sheet="Orders"/>
  </cacheSource>
  <cacheFields count="10">
    <cacheField name="Invoice" numFmtId="0">
      <sharedItems containsSemiMixedTypes="0" containsString="0" containsNumber="1" containsInteger="1" minValue="540546" maxValue="581476"/>
    </cacheField>
    <cacheField name="Order Date" numFmtId="164">
      <sharedItems containsSemiMixedTypes="0" containsNonDate="0" containsDate="1" containsString="0" minDate="2019-01-09T00:00:00" maxDate="2019-12-10T00:00:00" count="132">
        <d v="2019-01-09T00:00:00"/>
        <d v="2019-01-13T00:00:00"/>
        <d v="2019-01-14T00:00:00"/>
        <d v="2019-01-17T00:00:00"/>
        <d v="2019-01-18T00:00:00"/>
        <d v="2019-01-20T00:00:00"/>
        <d v="2019-01-21T00:00:00"/>
        <d v="2019-01-25T00:00:00"/>
        <d v="2019-01-27T00:00:00"/>
        <d v="2019-01-28T00:00:00"/>
        <d v="2019-01-30T00:00:00"/>
        <d v="2019-01-31T00:00:00"/>
        <d v="2019-02-01T00:00:00"/>
        <d v="2019-02-11T00:00:00"/>
        <d v="2019-02-14T00:00:00"/>
        <d v="2019-02-18T00:00:00"/>
        <d v="2019-02-21T00:00:00"/>
        <d v="2019-02-22T00:00:00"/>
        <d v="2019-02-23T00:00:00"/>
        <d v="2019-03-04T00:00:00"/>
        <d v="2019-03-08T00:00:00"/>
        <d v="2019-03-17T00:00:00"/>
        <d v="2019-03-18T00:00:00"/>
        <d v="2019-03-21T00:00:00"/>
        <d v="2019-03-23T00:00:00"/>
        <d v="2019-03-24T00:00:00"/>
        <d v="2019-03-28T00:00:00"/>
        <d v="2019-04-03T00:00:00"/>
        <d v="2019-04-04T00:00:00"/>
        <d v="2019-04-14T00:00:00"/>
        <d v="2019-04-20T00:00:00"/>
        <d v="2019-04-21T00:00:00"/>
        <d v="2019-05-09T00:00:00"/>
        <d v="2019-05-12T00:00:00"/>
        <d v="2019-05-13T00:00:00"/>
        <d v="2019-05-16T00:00:00"/>
        <d v="2019-05-17T00:00:00"/>
        <d v="2019-05-19T00:00:00"/>
        <d v="2019-05-24T00:00:00"/>
        <d v="2019-05-31T00:00:00"/>
        <d v="2019-06-01T00:00:00"/>
        <d v="2019-06-02T00:00:00"/>
        <d v="2019-06-05T00:00:00"/>
        <d v="2019-06-06T00:00:00"/>
        <d v="2019-06-09T00:00:00"/>
        <d v="2019-06-16T00:00:00"/>
        <d v="2019-06-20T00:00:00"/>
        <d v="2019-06-21T00:00:00"/>
        <d v="2019-06-22T00:00:00"/>
        <d v="2019-06-23T00:00:00"/>
        <d v="2019-06-28T00:00:00"/>
        <d v="2019-06-30T00:00:00"/>
        <d v="2019-07-05T00:00:00"/>
        <d v="2019-07-08T00:00:00"/>
        <d v="2019-07-10T00:00:00"/>
        <d v="2019-07-11T00:00:00"/>
        <d v="2019-07-13T00:00:00"/>
        <d v="2019-07-15T00:00:00"/>
        <d v="2019-07-19T00:00:00"/>
        <d v="2019-07-20T00:00:00"/>
        <d v="2019-07-21T00:00:00"/>
        <d v="2019-07-24T00:00:00"/>
        <d v="2019-07-25T00:00:00"/>
        <d v="2019-07-31T00:00:00"/>
        <d v="2019-08-08T00:00:00"/>
        <d v="2019-08-09T00:00:00"/>
        <d v="2019-08-19T00:00:00"/>
        <d v="2019-08-22T00:00:00"/>
        <d v="2019-08-23T00:00:00"/>
        <d v="2019-08-24T00:00:00"/>
        <d v="2019-08-25T00:00:00"/>
        <d v="2019-08-28T00:00:00"/>
        <d v="2019-08-31T00:00:00"/>
        <d v="2019-09-02T00:00:00"/>
        <d v="2019-09-04T00:00:00"/>
        <d v="2019-09-05T00:00:00"/>
        <d v="2019-09-06T00:00:00"/>
        <d v="2019-09-07T00:00:00"/>
        <d v="2019-09-08T00:00:00"/>
        <d v="2019-09-09T00:00:00"/>
        <d v="2019-09-13T00:00:00"/>
        <d v="2019-09-14T00:00:00"/>
        <d v="2019-09-18T00:00:00"/>
        <d v="2019-09-19T00:00:00"/>
        <d v="2019-09-21T00:00:00"/>
        <d v="2019-09-22T00:00:00"/>
        <d v="2019-09-23T00:00:00"/>
        <d v="2019-09-25T00:00:00"/>
        <d v="2019-09-28T00:00:00"/>
        <d v="2019-09-29T00:00:00"/>
        <d v="2019-10-03T00:00:00"/>
        <d v="2019-10-04T00:00:00"/>
        <d v="2019-10-05T00:00:00"/>
        <d v="2019-10-06T00:00:00"/>
        <d v="2019-10-10T00:00:00"/>
        <d v="2019-10-11T00:00:00"/>
        <d v="2019-10-12T00:00:00"/>
        <d v="2019-10-13T00:00:00"/>
        <d v="2019-10-14T00:00:00"/>
        <d v="2019-10-16T00:00:00"/>
        <d v="2019-10-17T00:00:00"/>
        <d v="2019-10-18T00:00:00"/>
        <d v="2019-10-19T00:00:00"/>
        <d v="2019-10-20T00:00:00"/>
        <d v="2019-10-24T00:00:00"/>
        <d v="2019-10-26T00:00:00"/>
        <d v="2019-10-30T00:00:00"/>
        <d v="2019-10-31T00:00:00"/>
        <d v="2019-11-01T00:00:00"/>
        <d v="2019-11-03T00:00:00"/>
        <d v="2019-11-04T00:00:00"/>
        <d v="2019-11-06T00:00:00"/>
        <d v="2019-11-08T00:00:00"/>
        <d v="2019-11-09T00:00:00"/>
        <d v="2019-11-10T00:00:00"/>
        <d v="2019-11-11T00:00:00"/>
        <d v="2019-11-14T00:00:00"/>
        <d v="2019-11-16T00:00:00"/>
        <d v="2019-11-17T00:00:00"/>
        <d v="2019-11-18T00:00:00"/>
        <d v="2019-11-20T00:00:00"/>
        <d v="2019-11-22T00:00:00"/>
        <d v="2019-11-23T00:00:00"/>
        <d v="2019-11-25T00:00:00"/>
        <d v="2019-11-27T00:00:00"/>
        <d v="2019-11-28T00:00:00"/>
        <d v="2019-11-29T00:00:00"/>
        <d v="2019-11-30T00:00:00"/>
        <d v="2019-12-02T00:00:00"/>
        <d v="2019-12-06T00:00:00"/>
        <d v="2019-12-08T00:00:00"/>
        <d v="2019-12-09T00:00:00"/>
      </sharedItems>
      <fieldGroup par="9" base="1">
        <rangePr groupBy="days" startDate="2019-01-09T00:00:00" endDate="2019-12-10T00:00:00"/>
        <groupItems count="368">
          <s v="&lt;1/9/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0/2019"/>
        </groupItems>
      </fieldGroup>
    </cacheField>
    <cacheField name="Country" numFmtId="0">
      <sharedItems/>
    </cacheField>
    <cacheField name="Client ID" numFmtId="0">
      <sharedItems containsSemiMixedTypes="0" containsString="0" containsNumber="1" containsInteger="1" minValue="12357" maxValue="18252"/>
    </cacheField>
    <cacheField name="Product ID" numFmtId="0">
      <sharedItems containsSemiMixedTypes="0" containsString="0" containsNumber="1" containsInteger="1" minValue="20713" maxValue="62018"/>
    </cacheField>
    <cacheField name="Product Name" numFmtId="0">
      <sharedItems containsNonDate="0" containsString="0" containsBlank="1"/>
    </cacheField>
    <cacheField name="Quantity" numFmtId="0">
      <sharedItems containsSemiMixedTypes="0" containsString="0" containsNumber="1" containsInteger="1" minValue="1" maxValue="400"/>
    </cacheField>
    <cacheField name="Unit Price" numFmtId="165">
      <sharedItems containsSemiMixedTypes="0" containsString="0" containsNumber="1" minValue="0.72" maxValue="4.95"/>
    </cacheField>
    <cacheField name="Revenue" numFmtId="165">
      <sharedItems containsSemiMixedTypes="0" containsString="0" containsNumber="1" minValue="1.65" maxValue="500"/>
    </cacheField>
    <cacheField name="Months" numFmtId="0" databaseField="0">
      <fieldGroup base="1">
        <rangePr groupBy="months" startDate="2019-01-09T00:00:00" endDate="2019-12-10T00:00:00"/>
        <groupItems count="14">
          <s v="&lt;1/9/2019"/>
          <s v="Jan"/>
          <s v="Feb"/>
          <s v="Mar"/>
          <s v="Apr"/>
          <s v="May"/>
          <s v="Jun"/>
          <s v="Jul"/>
          <s v="Aug"/>
          <s v="Sep"/>
          <s v="Oct"/>
          <s v="Nov"/>
          <s v="Dec"/>
          <s v="&gt;12/10/2019"/>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rique Ruiz" refreshedDate="44151.556533101852" createdVersion="6" refreshedVersion="6" minRefreshableVersion="3" recordCount="181" xr:uid="{6003A164-A64E-4AC6-B3E4-D5BCA080BC64}">
  <cacheSource type="worksheet">
    <worksheetSource name="Indicators"/>
  </cacheSource>
  <cacheFields count="5">
    <cacheField name="Country" numFmtId="0">
      <sharedItems/>
    </cacheField>
    <cacheField name="Region" numFmtId="0">
      <sharedItems count="7">
        <s v="South Asia"/>
        <s v="Europe &amp; Central Asia"/>
        <s v="Middle East &amp; North Africa"/>
        <s v="Sub-Saharan Africa"/>
        <s v="Latin America &amp; Caribbean"/>
        <s v="East Asia &amp; Pacific"/>
        <s v="North America"/>
      </sharedItems>
    </cacheField>
    <cacheField name="Population" numFmtId="3">
      <sharedItems containsSemiMixedTypes="0" containsString="0" containsNumber="1" containsInteger="1" minValue="11646" maxValue="1397715000"/>
    </cacheField>
    <cacheField name="Area" numFmtId="3">
      <sharedItems containsSemiMixedTypes="0" containsString="0" containsNumber="1" minValue="26" maxValue="17098240"/>
    </cacheField>
    <cacheField name="Population Density" numFmtId="0" formula="Population /Area"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rique Ruiz" refreshedDate="44152.371141203701" createdVersion="6" refreshedVersion="6" minRefreshableVersion="3" recordCount="149" xr:uid="{83BF80C3-325C-4021-A43C-DDDAC9E80F49}">
  <cacheSource type="worksheet">
    <worksheetSource ref="A2:F151" sheet="Taxi Collisions"/>
  </cacheSource>
  <cacheFields count="6">
    <cacheField name="Date" numFmtId="164">
      <sharedItems containsSemiMixedTypes="0" containsNonDate="0" containsDate="1" containsString="0" minDate="2020-01-01T00:00:00" maxDate="2020-07-12T00:00:00"/>
    </cacheField>
    <cacheField name="Time" numFmtId="168">
      <sharedItems containsSemiMixedTypes="0" containsNonDate="0" containsDate="1" containsString="0" minDate="1899-12-30T00:00:00" maxDate="1899-12-30T23:56:00"/>
    </cacheField>
    <cacheField name="District" numFmtId="0">
      <sharedItems/>
    </cacheField>
    <cacheField name="Collision Cause" numFmtId="0">
      <sharedItems count="18">
        <s v="Driver Inattention/Distraction"/>
        <s v="Traffic Control Disregarded"/>
        <s v="Passing Too Closely"/>
        <s v="Other Vehicular"/>
        <s v="Passing or Lane Usage Improper"/>
        <s v="Unsafe Lane Changing"/>
        <s v="Driver Inexperience"/>
        <s v="Unsafe Speed"/>
        <s v="Failure to Yield Right-of-Way"/>
        <s v="Turning Improperly"/>
        <s v="Pedestrian/Bicyclist/Other Pedestrian Error/Confusion"/>
        <s v="Following Too Closely"/>
        <s v="Passenger Distraction"/>
        <s v="Reaction to Uninvolved Vehicle"/>
        <s v="Outside Car Distraction"/>
        <s v="Backing Unsafely"/>
        <s v="Alcohol Involvement"/>
        <s v="View Obstructed/Limited"/>
      </sharedItems>
    </cacheField>
    <cacheField name="Vehicle" numFmtId="0">
      <sharedItems/>
    </cacheField>
    <cacheField name="# of Persons Injured"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
  <r>
    <n v="540546"/>
    <x v="0"/>
    <s v="Portugal"/>
    <n v="12766"/>
    <n v="22740"/>
    <m/>
    <n v="48"/>
    <n v="0.85"/>
    <n v="40.799999999999997"/>
  </r>
  <r>
    <n v="541115"/>
    <x v="1"/>
    <s v="Italy"/>
    <n v="12578"/>
    <n v="21260"/>
    <m/>
    <n v="6"/>
    <n v="3.25"/>
    <n v="19.5"/>
  </r>
  <r>
    <n v="541115"/>
    <x v="1"/>
    <s v="Italy"/>
    <n v="12578"/>
    <n v="22190"/>
    <m/>
    <n v="12"/>
    <n v="2.1"/>
    <n v="25.200000000000003"/>
  </r>
  <r>
    <n v="541224"/>
    <x v="2"/>
    <s v="Germany"/>
    <n v="12474"/>
    <n v="21025"/>
    <m/>
    <n v="10"/>
    <n v="1.25"/>
    <n v="12.5"/>
  </r>
  <r>
    <n v="541269"/>
    <x v="3"/>
    <s v="Germany"/>
    <n v="12626"/>
    <n v="22174"/>
    <m/>
    <n v="12"/>
    <n v="1.65"/>
    <n v="19.799999999999997"/>
  </r>
  <r>
    <n v="541509"/>
    <x v="4"/>
    <s v="United Kingdom"/>
    <n v="13263"/>
    <n v="22694"/>
    <m/>
    <n v="1"/>
    <n v="2.1"/>
    <n v="2.1"/>
  </r>
  <r>
    <n v="541631"/>
    <x v="5"/>
    <s v="France"/>
    <n v="12637"/>
    <n v="22174"/>
    <m/>
    <n v="12"/>
    <n v="1.65"/>
    <n v="19.799999999999997"/>
  </r>
  <r>
    <n v="541711"/>
    <x v="6"/>
    <s v="Netherlands"/>
    <n v="14646"/>
    <n v="22653"/>
    <m/>
    <n v="10"/>
    <n v="1.95"/>
    <n v="19.5"/>
  </r>
  <r>
    <n v="542080"/>
    <x v="7"/>
    <s v="Germany"/>
    <n v="13815"/>
    <n v="20713"/>
    <m/>
    <n v="10"/>
    <n v="1.95"/>
    <n v="19.5"/>
  </r>
  <r>
    <n v="542080"/>
    <x v="7"/>
    <s v="Germany"/>
    <n v="13815"/>
    <n v="22740"/>
    <m/>
    <n v="48"/>
    <n v="0.85"/>
    <n v="40.799999999999997"/>
  </r>
  <r>
    <n v="542080"/>
    <x v="7"/>
    <s v="Germany"/>
    <n v="13815"/>
    <n v="22741"/>
    <m/>
    <n v="48"/>
    <n v="0.85"/>
    <n v="40.799999999999997"/>
  </r>
  <r>
    <n v="542371"/>
    <x v="8"/>
    <s v="Germany"/>
    <n v="12468"/>
    <n v="62018"/>
    <m/>
    <n v="6"/>
    <n v="1.95"/>
    <n v="11.7"/>
  </r>
  <r>
    <n v="542428"/>
    <x v="9"/>
    <s v="Sweden"/>
    <n v="17404"/>
    <n v="21260"/>
    <m/>
    <n v="48"/>
    <n v="3.25"/>
    <n v="156"/>
  </r>
  <r>
    <n v="542535"/>
    <x v="9"/>
    <s v="France"/>
    <n v="12735"/>
    <n v="21888"/>
    <m/>
    <n v="4"/>
    <n v="3.75"/>
    <n v="15"/>
  </r>
  <r>
    <n v="542612"/>
    <x v="10"/>
    <s v="United Kingdom"/>
    <n v="17841"/>
    <n v="20713"/>
    <m/>
    <n v="1"/>
    <n v="1.95"/>
    <n v="1.95"/>
  </r>
  <r>
    <n v="542648"/>
    <x v="11"/>
    <s v="Germany"/>
    <n v="12476"/>
    <n v="21116"/>
    <m/>
    <n v="3"/>
    <n v="4.95"/>
    <n v="14.850000000000001"/>
  </r>
  <r>
    <n v="542887"/>
    <x v="12"/>
    <s v="Austria"/>
    <n v="12373"/>
    <n v="20713"/>
    <m/>
    <n v="10"/>
    <n v="1.95"/>
    <n v="19.5"/>
  </r>
  <r>
    <n v="543731"/>
    <x v="13"/>
    <s v="United Kingdom"/>
    <n v="17677"/>
    <n v="20713"/>
    <m/>
    <n v="100"/>
    <n v="1.65"/>
    <n v="165"/>
  </r>
  <r>
    <n v="543733"/>
    <x v="13"/>
    <s v="Belgium"/>
    <n v="12395"/>
    <n v="22740"/>
    <m/>
    <n v="48"/>
    <n v="0.85"/>
    <n v="40.799999999999997"/>
  </r>
  <r>
    <n v="543737"/>
    <x v="13"/>
    <s v="Germany"/>
    <n v="12477"/>
    <n v="21116"/>
    <m/>
    <n v="3"/>
    <n v="4.95"/>
    <n v="14.850000000000001"/>
  </r>
  <r>
    <n v="543831"/>
    <x v="14"/>
    <s v="United Kingdom"/>
    <n v="15769"/>
    <n v="20713"/>
    <m/>
    <n v="100"/>
    <n v="1.65"/>
    <n v="165"/>
  </r>
  <r>
    <n v="544355"/>
    <x v="15"/>
    <s v="France"/>
    <n v="12714"/>
    <n v="22741"/>
    <m/>
    <n v="48"/>
    <n v="0.85"/>
    <n v="40.799999999999997"/>
  </r>
  <r>
    <n v="544355"/>
    <x v="15"/>
    <s v="France"/>
    <n v="12714"/>
    <n v="22740"/>
    <m/>
    <n v="96"/>
    <n v="0.85"/>
    <n v="81.599999999999994"/>
  </r>
  <r>
    <n v="544399"/>
    <x v="15"/>
    <s v="Italy"/>
    <n v="12594"/>
    <n v="20713"/>
    <m/>
    <n v="10"/>
    <n v="1.95"/>
    <n v="19.5"/>
  </r>
  <r>
    <n v="544480"/>
    <x v="16"/>
    <s v="Netherlands"/>
    <n v="14646"/>
    <n v="20713"/>
    <m/>
    <n v="100"/>
    <n v="1.65"/>
    <n v="165"/>
  </r>
  <r>
    <n v="544480"/>
    <x v="16"/>
    <s v="Netherlands"/>
    <n v="14646"/>
    <n v="22653"/>
    <m/>
    <n v="200"/>
    <n v="1.65"/>
    <n v="330"/>
  </r>
  <r>
    <n v="544657"/>
    <x v="17"/>
    <s v="United Kingdom"/>
    <n v="14895"/>
    <n v="22174"/>
    <m/>
    <n v="12"/>
    <n v="1.65"/>
    <n v="19.799999999999997"/>
  </r>
  <r>
    <n v="544672"/>
    <x v="17"/>
    <s v="Netherlands"/>
    <n v="14646"/>
    <n v="22653"/>
    <m/>
    <n v="20"/>
    <n v="1.95"/>
    <n v="39"/>
  </r>
  <r>
    <n v="544672"/>
    <x v="17"/>
    <s v="Netherlands"/>
    <n v="14646"/>
    <n v="20713"/>
    <m/>
    <n v="100"/>
    <n v="1.65"/>
    <n v="165"/>
  </r>
  <r>
    <n v="544811"/>
    <x v="18"/>
    <s v="Germany"/>
    <n v="12471"/>
    <n v="22741"/>
    <m/>
    <n v="48"/>
    <n v="0.85"/>
    <n v="40.799999999999997"/>
  </r>
  <r>
    <n v="545664"/>
    <x v="19"/>
    <s v="Italy"/>
    <n v="12584"/>
    <n v="21260"/>
    <m/>
    <n v="6"/>
    <n v="3.25"/>
    <n v="19.5"/>
  </r>
  <r>
    <n v="545937"/>
    <x v="20"/>
    <s v="Portugal"/>
    <n v="12758"/>
    <n v="22740"/>
    <m/>
    <n v="48"/>
    <n v="0.85"/>
    <n v="40.799999999999997"/>
  </r>
  <r>
    <n v="545988"/>
    <x v="20"/>
    <s v="Germany"/>
    <n v="12662"/>
    <n v="20713"/>
    <m/>
    <n v="10"/>
    <n v="1.95"/>
    <n v="19.5"/>
  </r>
  <r>
    <n v="546780"/>
    <x v="21"/>
    <s v="Denmark"/>
    <n v="12435"/>
    <n v="20713"/>
    <m/>
    <n v="20"/>
    <n v="1.95"/>
    <n v="39"/>
  </r>
  <r>
    <n v="546843"/>
    <x v="21"/>
    <s v="Germany"/>
    <n v="12472"/>
    <n v="20713"/>
    <m/>
    <n v="10"/>
    <n v="1.95"/>
    <n v="19.5"/>
  </r>
  <r>
    <n v="546843"/>
    <x v="21"/>
    <s v="Germany"/>
    <n v="12472"/>
    <n v="22740"/>
    <m/>
    <n v="48"/>
    <n v="0.85"/>
    <n v="40.799999999999997"/>
  </r>
  <r>
    <n v="546920"/>
    <x v="22"/>
    <s v="Germany"/>
    <n v="12471"/>
    <n v="22741"/>
    <m/>
    <n v="48"/>
    <n v="0.85"/>
    <n v="40.799999999999997"/>
  </r>
  <r>
    <n v="547194"/>
    <x v="23"/>
    <s v="France"/>
    <n v="12637"/>
    <n v="20713"/>
    <m/>
    <n v="2"/>
    <n v="1.95"/>
    <n v="3.9"/>
  </r>
  <r>
    <n v="547517"/>
    <x v="24"/>
    <s v="Belgium"/>
    <n v="12395"/>
    <n v="22740"/>
    <m/>
    <n v="48"/>
    <n v="0.85"/>
    <n v="40.799999999999997"/>
  </r>
  <r>
    <n v="547685"/>
    <x v="25"/>
    <s v="Belgium"/>
    <n v="12408"/>
    <n v="20713"/>
    <m/>
    <n v="10"/>
    <n v="1.95"/>
    <n v="19.5"/>
  </r>
  <r>
    <n v="547897"/>
    <x v="26"/>
    <s v="Portugal"/>
    <n v="12792"/>
    <n v="21888"/>
    <m/>
    <n v="4"/>
    <n v="3.75"/>
    <n v="15"/>
  </r>
  <r>
    <n v="548711"/>
    <x v="27"/>
    <s v="United Kingdom"/>
    <n v="18116"/>
    <n v="22694"/>
    <m/>
    <n v="1"/>
    <n v="2.1"/>
    <n v="2.1"/>
  </r>
  <r>
    <n v="548745"/>
    <x v="28"/>
    <s v="Germany"/>
    <n v="12471"/>
    <n v="22741"/>
    <m/>
    <n v="48"/>
    <n v="0.85"/>
    <n v="40.799999999999997"/>
  </r>
  <r>
    <n v="550188"/>
    <x v="29"/>
    <s v="Switzerland"/>
    <n v="12457"/>
    <n v="21888"/>
    <m/>
    <n v="4"/>
    <n v="3.75"/>
    <n v="15"/>
  </r>
  <r>
    <n v="550665"/>
    <x v="30"/>
    <s v="Germany"/>
    <n v="12530"/>
    <n v="22740"/>
    <m/>
    <n v="48"/>
    <n v="0.85"/>
    <n v="40.799999999999997"/>
  </r>
  <r>
    <n v="550827"/>
    <x v="31"/>
    <s v="France"/>
    <n v="12670"/>
    <n v="22740"/>
    <m/>
    <n v="48"/>
    <n v="0.85"/>
    <n v="40.799999999999997"/>
  </r>
  <r>
    <n v="552337"/>
    <x v="32"/>
    <s v="Germany"/>
    <n v="12621"/>
    <n v="21116"/>
    <m/>
    <n v="3"/>
    <n v="4.95"/>
    <n v="14.850000000000001"/>
  </r>
  <r>
    <n v="552978"/>
    <x v="33"/>
    <s v="Germany"/>
    <n v="12590"/>
    <n v="22740"/>
    <m/>
    <n v="48"/>
    <n v="0.85"/>
    <n v="40.799999999999997"/>
  </r>
  <r>
    <n v="553037"/>
    <x v="34"/>
    <s v="Germany"/>
    <n v="12471"/>
    <n v="22741"/>
    <m/>
    <n v="48"/>
    <n v="0.85"/>
    <n v="40.799999999999997"/>
  </r>
  <r>
    <n v="553377"/>
    <x v="35"/>
    <s v="United Kingdom"/>
    <n v="14888"/>
    <n v="21888"/>
    <m/>
    <n v="6"/>
    <n v="3.75"/>
    <n v="22.5"/>
  </r>
  <r>
    <n v="553540"/>
    <x v="36"/>
    <s v="United Kingdom"/>
    <n v="17511"/>
    <n v="21888"/>
    <m/>
    <n v="4"/>
    <n v="3.75"/>
    <n v="15"/>
  </r>
  <r>
    <n v="553832"/>
    <x v="37"/>
    <s v="United Kingdom"/>
    <n v="12957"/>
    <n v="21025"/>
    <m/>
    <n v="10"/>
    <n v="1.25"/>
    <n v="12.5"/>
  </r>
  <r>
    <n v="554356"/>
    <x v="38"/>
    <s v="France"/>
    <n v="12670"/>
    <n v="22740"/>
    <m/>
    <n v="48"/>
    <n v="0.85"/>
    <n v="40.799999999999997"/>
  </r>
  <r>
    <n v="555095"/>
    <x v="39"/>
    <s v="Spain"/>
    <n v="12540"/>
    <n v="21116"/>
    <m/>
    <n v="3"/>
    <n v="4.95"/>
    <n v="14.850000000000001"/>
  </r>
  <r>
    <n v="555162"/>
    <x v="40"/>
    <s v="Germany"/>
    <n v="12473"/>
    <n v="22740"/>
    <m/>
    <n v="48"/>
    <n v="0.85"/>
    <n v="40.799999999999997"/>
  </r>
  <r>
    <n v="555162"/>
    <x v="40"/>
    <s v="Germany"/>
    <n v="12473"/>
    <n v="22741"/>
    <m/>
    <n v="48"/>
    <n v="0.85"/>
    <n v="40.799999999999997"/>
  </r>
  <r>
    <n v="555284"/>
    <x v="41"/>
    <s v="United Kingdom"/>
    <n v="14298"/>
    <n v="62018"/>
    <m/>
    <n v="48"/>
    <n v="1.25"/>
    <n v="60"/>
  </r>
  <r>
    <n v="555572"/>
    <x v="42"/>
    <s v="Belgium"/>
    <n v="12449"/>
    <n v="21888"/>
    <m/>
    <n v="4"/>
    <n v="3.75"/>
    <n v="15"/>
  </r>
  <r>
    <n v="555637"/>
    <x v="43"/>
    <s v="France"/>
    <n v="12535"/>
    <n v="21116"/>
    <m/>
    <n v="3"/>
    <n v="4.95"/>
    <n v="14.850000000000001"/>
  </r>
  <r>
    <n v="556258"/>
    <x v="44"/>
    <s v="France"/>
    <n v="12694"/>
    <n v="21888"/>
    <m/>
    <n v="4"/>
    <n v="3.75"/>
    <n v="15"/>
  </r>
  <r>
    <n v="557007"/>
    <x v="45"/>
    <s v="Spain"/>
    <n v="12484"/>
    <n v="22197"/>
    <m/>
    <n v="5"/>
    <n v="0.85"/>
    <n v="4.25"/>
  </r>
  <r>
    <n v="557466"/>
    <x v="46"/>
    <s v="Germany"/>
    <n v="13815"/>
    <n v="22740"/>
    <m/>
    <n v="48"/>
    <n v="0.85"/>
    <n v="40.799999999999997"/>
  </r>
  <r>
    <n v="557509"/>
    <x v="46"/>
    <s v="United Kingdom"/>
    <n v="15389"/>
    <n v="62018"/>
    <m/>
    <n v="400"/>
    <n v="1.25"/>
    <n v="500"/>
  </r>
  <r>
    <n v="557525"/>
    <x v="47"/>
    <s v="Netherlands"/>
    <n v="12759"/>
    <n v="21260"/>
    <m/>
    <n v="6"/>
    <n v="3.25"/>
    <n v="19.5"/>
  </r>
  <r>
    <n v="557789"/>
    <x v="48"/>
    <s v="Belgium"/>
    <n v="12379"/>
    <n v="22740"/>
    <m/>
    <n v="48"/>
    <n v="0.85"/>
    <n v="40.799999999999997"/>
  </r>
  <r>
    <n v="557885"/>
    <x v="49"/>
    <s v="Belgium"/>
    <n v="12465"/>
    <n v="22740"/>
    <m/>
    <n v="48"/>
    <n v="0.85"/>
    <n v="40.799999999999997"/>
  </r>
  <r>
    <n v="558262"/>
    <x v="50"/>
    <s v="Netherlands"/>
    <n v="14646"/>
    <n v="20713"/>
    <m/>
    <n v="200"/>
    <n v="1.79"/>
    <n v="358"/>
  </r>
  <r>
    <n v="558628"/>
    <x v="51"/>
    <s v="Germany"/>
    <n v="12626"/>
    <n v="20713"/>
    <m/>
    <n v="10"/>
    <n v="2.08"/>
    <n v="20.8"/>
  </r>
  <r>
    <n v="559036"/>
    <x v="52"/>
    <s v="France"/>
    <n v="12637"/>
    <n v="22174"/>
    <m/>
    <n v="12"/>
    <n v="1.65"/>
    <n v="19.799999999999997"/>
  </r>
  <r>
    <n v="559366"/>
    <x v="53"/>
    <s v="United Kingdom"/>
    <n v="13102"/>
    <n v="22197"/>
    <m/>
    <n v="24"/>
    <n v="0.85"/>
    <n v="20.399999999999999"/>
  </r>
  <r>
    <n v="559418"/>
    <x v="53"/>
    <s v="France"/>
    <n v="12681"/>
    <n v="22197"/>
    <m/>
    <n v="12"/>
    <n v="0.85"/>
    <n v="10.199999999999999"/>
  </r>
  <r>
    <n v="559550"/>
    <x v="54"/>
    <s v="United Kingdom"/>
    <n v="17757"/>
    <n v="22197"/>
    <m/>
    <n v="10"/>
    <n v="0.85"/>
    <n v="8.5"/>
  </r>
  <r>
    <n v="559665"/>
    <x v="55"/>
    <s v="Spain"/>
    <n v="12556"/>
    <n v="22197"/>
    <m/>
    <n v="4"/>
    <n v="0.85"/>
    <n v="3.4"/>
  </r>
  <r>
    <n v="559862"/>
    <x v="56"/>
    <s v="Portugal"/>
    <n v="12782"/>
    <n v="22740"/>
    <m/>
    <n v="48"/>
    <n v="0.85"/>
    <n v="40.799999999999997"/>
  </r>
  <r>
    <n v="559907"/>
    <x v="56"/>
    <s v="Portugal"/>
    <n v="12766"/>
    <n v="22740"/>
    <m/>
    <n v="96"/>
    <n v="0.85"/>
    <n v="81.599999999999994"/>
  </r>
  <r>
    <n v="560211"/>
    <x v="57"/>
    <s v="Germany"/>
    <n v="12621"/>
    <n v="20713"/>
    <m/>
    <n v="10"/>
    <n v="2.08"/>
    <n v="20.8"/>
  </r>
  <r>
    <n v="560590"/>
    <x v="58"/>
    <s v="Germany"/>
    <n v="12560"/>
    <n v="22740"/>
    <m/>
    <n v="48"/>
    <n v="0.85"/>
    <n v="40.799999999999997"/>
  </r>
  <r>
    <n v="560694"/>
    <x v="59"/>
    <s v="Portugal"/>
    <n v="12757"/>
    <n v="20713"/>
    <m/>
    <n v="10"/>
    <n v="2.08"/>
    <n v="20.8"/>
  </r>
  <r>
    <n v="560901"/>
    <x v="60"/>
    <s v="Germany"/>
    <n v="12476"/>
    <n v="21116"/>
    <m/>
    <n v="3"/>
    <n v="4.95"/>
    <n v="14.850000000000001"/>
  </r>
  <r>
    <n v="561066"/>
    <x v="61"/>
    <s v="United Kingdom"/>
    <n v="16710"/>
    <n v="22197"/>
    <m/>
    <n v="12"/>
    <n v="0.85"/>
    <n v="10.199999999999999"/>
  </r>
  <r>
    <n v="561093"/>
    <x v="62"/>
    <s v="Spain"/>
    <n v="12540"/>
    <n v="21116"/>
    <m/>
    <n v="6"/>
    <n v="4.95"/>
    <n v="29.700000000000003"/>
  </r>
  <r>
    <n v="561093"/>
    <x v="62"/>
    <s v="Spain"/>
    <n v="12540"/>
    <n v="22740"/>
    <m/>
    <n v="48"/>
    <n v="0.85"/>
    <n v="40.799999999999997"/>
  </r>
  <r>
    <n v="561902"/>
    <x v="63"/>
    <s v="Sweden"/>
    <n v="17404"/>
    <n v="21260"/>
    <m/>
    <n v="48"/>
    <n v="3.25"/>
    <n v="156"/>
  </r>
  <r>
    <n v="562605"/>
    <x v="64"/>
    <s v="Germany"/>
    <n v="12530"/>
    <n v="20713"/>
    <m/>
    <n v="10"/>
    <n v="2.08"/>
    <n v="20.8"/>
  </r>
  <r>
    <n v="562789"/>
    <x v="65"/>
    <s v="Netherlands"/>
    <n v="14646"/>
    <n v="20713"/>
    <m/>
    <n v="100"/>
    <n v="1.79"/>
    <n v="179"/>
  </r>
  <r>
    <n v="563749"/>
    <x v="66"/>
    <s v="Austria"/>
    <n v="12360"/>
    <n v="20713"/>
    <m/>
    <n v="10"/>
    <n v="2.08"/>
    <n v="20.8"/>
  </r>
  <r>
    <n v="563756"/>
    <x v="66"/>
    <s v="Switzerland"/>
    <n v="12418"/>
    <n v="21888"/>
    <m/>
    <n v="4"/>
    <n v="3.75"/>
    <n v="15"/>
  </r>
  <r>
    <n v="563808"/>
    <x v="66"/>
    <s v="Germany"/>
    <n v="12626"/>
    <n v="20713"/>
    <m/>
    <n v="20"/>
    <n v="2.08"/>
    <n v="41.6"/>
  </r>
  <r>
    <n v="563950"/>
    <x v="67"/>
    <s v="Germany"/>
    <n v="12471"/>
    <n v="22741"/>
    <m/>
    <n v="96"/>
    <n v="0.85"/>
    <n v="81.599999999999994"/>
  </r>
  <r>
    <n v="564140"/>
    <x v="68"/>
    <s v="Germany"/>
    <n v="12621"/>
    <n v="21116"/>
    <m/>
    <n v="3"/>
    <n v="4.95"/>
    <n v="14.850000000000001"/>
  </r>
  <r>
    <n v="564328"/>
    <x v="69"/>
    <s v="Germany"/>
    <n v="12662"/>
    <n v="20713"/>
    <m/>
    <n v="10"/>
    <n v="2.08"/>
    <n v="20.8"/>
  </r>
  <r>
    <n v="564360"/>
    <x v="69"/>
    <s v="Germany"/>
    <n v="12471"/>
    <n v="22741"/>
    <m/>
    <n v="96"/>
    <n v="0.85"/>
    <n v="81.599999999999994"/>
  </r>
  <r>
    <n v="564438"/>
    <x v="70"/>
    <s v="United Kingdom"/>
    <n v="16628"/>
    <n v="20713"/>
    <m/>
    <n v="20"/>
    <n v="2.08"/>
    <n v="41.6"/>
  </r>
  <r>
    <n v="564479"/>
    <x v="70"/>
    <s v="France"/>
    <n v="12682"/>
    <n v="22197"/>
    <m/>
    <n v="12"/>
    <n v="0.85"/>
    <n v="10.199999999999999"/>
  </r>
  <r>
    <n v="564539"/>
    <x v="70"/>
    <s v="Sweden"/>
    <n v="12715"/>
    <n v="20713"/>
    <m/>
    <n v="10"/>
    <n v="2.08"/>
    <n v="20.8"/>
  </r>
  <r>
    <n v="564734"/>
    <x v="71"/>
    <s v="Spain"/>
    <n v="12484"/>
    <n v="22197"/>
    <m/>
    <n v="18"/>
    <n v="0.85"/>
    <n v="15.299999999999999"/>
  </r>
  <r>
    <n v="564965"/>
    <x v="72"/>
    <s v="United Kingdom"/>
    <n v="17677"/>
    <n v="22197"/>
    <m/>
    <n v="12"/>
    <n v="0.85"/>
    <n v="10.199999999999999"/>
  </r>
  <r>
    <n v="565333"/>
    <x v="73"/>
    <s v="Finland"/>
    <n v="12375"/>
    <n v="20713"/>
    <m/>
    <n v="10"/>
    <n v="2.08"/>
    <n v="20.8"/>
  </r>
  <r>
    <n v="565386"/>
    <x v="73"/>
    <s v="United Kingdom"/>
    <n v="17997"/>
    <n v="22174"/>
    <m/>
    <n v="6"/>
    <n v="1.65"/>
    <n v="9.8999999999999986"/>
  </r>
  <r>
    <n v="565416"/>
    <x v="74"/>
    <s v="Germany"/>
    <n v="12710"/>
    <n v="22197"/>
    <m/>
    <n v="12"/>
    <n v="0.85"/>
    <n v="10.199999999999999"/>
  </r>
  <r>
    <n v="565430"/>
    <x v="74"/>
    <s v="Germany"/>
    <n v="14335"/>
    <n v="22174"/>
    <m/>
    <n v="12"/>
    <n v="1.65"/>
    <n v="19.799999999999997"/>
  </r>
  <r>
    <n v="565519"/>
    <x v="75"/>
    <s v="Spain"/>
    <n v="12502"/>
    <n v="22741"/>
    <m/>
    <n v="48"/>
    <n v="0.85"/>
    <n v="40.799999999999997"/>
  </r>
  <r>
    <n v="565765"/>
    <x v="76"/>
    <s v="Germany"/>
    <n v="12526"/>
    <n v="20713"/>
    <m/>
    <n v="10"/>
    <n v="2.08"/>
    <n v="20.8"/>
  </r>
  <r>
    <n v="565854"/>
    <x v="77"/>
    <s v="France"/>
    <n v="12490"/>
    <n v="22197"/>
    <m/>
    <n v="36"/>
    <n v="0.85"/>
    <n v="30.599999999999998"/>
  </r>
  <r>
    <n v="565865"/>
    <x v="77"/>
    <s v="France"/>
    <n v="12637"/>
    <n v="22174"/>
    <m/>
    <n v="12"/>
    <n v="1.65"/>
    <n v="19.799999999999997"/>
  </r>
  <r>
    <n v="565930"/>
    <x v="78"/>
    <s v="France"/>
    <n v="12685"/>
    <n v="22174"/>
    <m/>
    <n v="12"/>
    <n v="1.65"/>
    <n v="19.799999999999997"/>
  </r>
  <r>
    <n v="565967"/>
    <x v="78"/>
    <s v="Netherlands"/>
    <n v="14646"/>
    <n v="20713"/>
    <m/>
    <n v="10"/>
    <n v="2.08"/>
    <n v="20.8"/>
  </r>
  <r>
    <n v="565967"/>
    <x v="78"/>
    <s v="Netherlands"/>
    <n v="14646"/>
    <n v="22653"/>
    <m/>
    <n v="20"/>
    <n v="1.95"/>
    <n v="39"/>
  </r>
  <r>
    <n v="566076"/>
    <x v="79"/>
    <s v="Belgium"/>
    <n v="12449"/>
    <n v="21888"/>
    <m/>
    <n v="4"/>
    <n v="3.75"/>
    <n v="15"/>
  </r>
  <r>
    <n v="566163"/>
    <x v="79"/>
    <s v="France"/>
    <n v="12637"/>
    <n v="22174"/>
    <m/>
    <n v="12"/>
    <n v="1.65"/>
    <n v="19.799999999999997"/>
  </r>
  <r>
    <n v="566195"/>
    <x v="79"/>
    <s v="Norway"/>
    <n v="12433"/>
    <n v="22197"/>
    <m/>
    <n v="100"/>
    <n v="0.72"/>
    <n v="72"/>
  </r>
  <r>
    <n v="566567"/>
    <x v="80"/>
    <s v="United Kingdom"/>
    <n v="16161"/>
    <n v="20713"/>
    <m/>
    <n v="10"/>
    <n v="2.08"/>
    <n v="20.8"/>
  </r>
  <r>
    <n v="566721"/>
    <x v="81"/>
    <s v="United Kingdom"/>
    <n v="12921"/>
    <n v="22653"/>
    <m/>
    <n v="10"/>
    <n v="1.95"/>
    <n v="19.5"/>
  </r>
  <r>
    <n v="567185"/>
    <x v="82"/>
    <s v="United Kingdom"/>
    <n v="16370"/>
    <n v="20713"/>
    <m/>
    <n v="4"/>
    <n v="2.08"/>
    <n v="8.32"/>
  </r>
  <r>
    <n v="567280"/>
    <x v="83"/>
    <s v="Netherlands"/>
    <n v="14646"/>
    <n v="20713"/>
    <m/>
    <n v="100"/>
    <n v="1.79"/>
    <n v="179"/>
  </r>
  <r>
    <n v="567526"/>
    <x v="84"/>
    <s v="Denmark"/>
    <n v="12435"/>
    <n v="20713"/>
    <m/>
    <n v="100"/>
    <n v="1.79"/>
    <n v="179"/>
  </r>
  <r>
    <n v="567552"/>
    <x v="84"/>
    <s v="France"/>
    <n v="12583"/>
    <n v="22197"/>
    <m/>
    <n v="24"/>
    <n v="0.85"/>
    <n v="20.399999999999999"/>
  </r>
  <r>
    <n v="567795"/>
    <x v="85"/>
    <s v="Netherlands"/>
    <n v="14646"/>
    <n v="20713"/>
    <m/>
    <n v="100"/>
    <n v="1.79"/>
    <n v="179"/>
  </r>
  <r>
    <n v="567915"/>
    <x v="85"/>
    <s v="France"/>
    <n v="12579"/>
    <n v="62018"/>
    <m/>
    <n v="6"/>
    <n v="1.95"/>
    <n v="11.7"/>
  </r>
  <r>
    <n v="567924"/>
    <x v="85"/>
    <s v="Germany"/>
    <n v="12471"/>
    <n v="22741"/>
    <m/>
    <n v="48"/>
    <n v="0.85"/>
    <n v="40.799999999999997"/>
  </r>
  <r>
    <n v="567928"/>
    <x v="85"/>
    <s v="Belgium"/>
    <n v="12380"/>
    <n v="20713"/>
    <m/>
    <n v="10"/>
    <n v="2.08"/>
    <n v="20.8"/>
  </r>
  <r>
    <n v="567938"/>
    <x v="85"/>
    <s v="Finland"/>
    <n v="12704"/>
    <n v="22694"/>
    <m/>
    <n v="6"/>
    <n v="2.1"/>
    <n v="12.600000000000001"/>
  </r>
  <r>
    <n v="568040"/>
    <x v="86"/>
    <s v="France"/>
    <n v="12681"/>
    <n v="22197"/>
    <m/>
    <n v="12"/>
    <n v="0.85"/>
    <n v="10.199999999999999"/>
  </r>
  <r>
    <n v="568179"/>
    <x v="87"/>
    <s v="Spain"/>
    <n v="12545"/>
    <n v="22197"/>
    <m/>
    <n v="12"/>
    <n v="0.85"/>
    <n v="10.199999999999999"/>
  </r>
  <r>
    <n v="568650"/>
    <x v="88"/>
    <s v="Switzerland"/>
    <n v="13505"/>
    <n v="22653"/>
    <m/>
    <n v="10"/>
    <n v="1.95"/>
    <n v="19.5"/>
  </r>
  <r>
    <n v="568650"/>
    <x v="88"/>
    <s v="Switzerland"/>
    <n v="13505"/>
    <n v="22174"/>
    <m/>
    <n v="12"/>
    <n v="1.65"/>
    <n v="19.799999999999997"/>
  </r>
  <r>
    <n v="568953"/>
    <x v="89"/>
    <s v="France"/>
    <n v="12728"/>
    <n v="22197"/>
    <m/>
    <n v="12"/>
    <n v="0.85"/>
    <n v="10.199999999999999"/>
  </r>
  <r>
    <n v="568953"/>
    <x v="89"/>
    <s v="France"/>
    <n v="12728"/>
    <n v="22741"/>
    <m/>
    <n v="48"/>
    <n v="0.85"/>
    <n v="40.799999999999997"/>
  </r>
  <r>
    <n v="569332"/>
    <x v="90"/>
    <s v="France"/>
    <n v="12637"/>
    <n v="20713"/>
    <m/>
    <n v="3"/>
    <n v="2.08"/>
    <n v="6.24"/>
  </r>
  <r>
    <n v="569486"/>
    <x v="91"/>
    <s v="United Kingdom"/>
    <n v="15339"/>
    <n v="22694"/>
    <m/>
    <n v="2"/>
    <n v="2.1"/>
    <n v="4.2"/>
  </r>
  <r>
    <n v="569562"/>
    <x v="92"/>
    <s v="Germany"/>
    <n v="12720"/>
    <n v="22197"/>
    <m/>
    <n v="12"/>
    <n v="0.85"/>
    <n v="10.199999999999999"/>
  </r>
  <r>
    <n v="569640"/>
    <x v="92"/>
    <s v="Germany"/>
    <n v="12471"/>
    <n v="22741"/>
    <m/>
    <n v="96"/>
    <n v="0.85"/>
    <n v="81.599999999999994"/>
  </r>
  <r>
    <n v="569653"/>
    <x v="92"/>
    <s v="Switzerland"/>
    <n v="12451"/>
    <n v="20713"/>
    <m/>
    <n v="10"/>
    <n v="2.08"/>
    <n v="20.8"/>
  </r>
  <r>
    <n v="569844"/>
    <x v="93"/>
    <s v="Germany"/>
    <n v="12626"/>
    <n v="20713"/>
    <m/>
    <n v="10"/>
    <n v="2.08"/>
    <n v="20.8"/>
  </r>
  <r>
    <n v="569848"/>
    <x v="93"/>
    <s v="United Kingdom"/>
    <n v="16316"/>
    <n v="22197"/>
    <m/>
    <n v="24"/>
    <n v="0.85"/>
    <n v="20.399999999999999"/>
  </r>
  <r>
    <n v="569860"/>
    <x v="93"/>
    <s v="Germany"/>
    <n v="13812"/>
    <n v="22197"/>
    <m/>
    <n v="12"/>
    <n v="0.85"/>
    <n v="10.199999999999999"/>
  </r>
  <r>
    <n v="569866"/>
    <x v="93"/>
    <s v="Portugal"/>
    <n v="12757"/>
    <n v="20713"/>
    <m/>
    <n v="10"/>
    <n v="2.08"/>
    <n v="20.8"/>
  </r>
  <r>
    <n v="569866"/>
    <x v="93"/>
    <s v="Portugal"/>
    <n v="12757"/>
    <n v="22741"/>
    <m/>
    <n v="12"/>
    <n v="0.85"/>
    <n v="10.199999999999999"/>
  </r>
  <r>
    <n v="570249"/>
    <x v="94"/>
    <s v="United Kingdom"/>
    <n v="17509"/>
    <n v="21888"/>
    <m/>
    <n v="4"/>
    <n v="3.75"/>
    <n v="15"/>
  </r>
  <r>
    <n v="570653"/>
    <x v="95"/>
    <s v="United Kingdom"/>
    <n v="14710"/>
    <n v="22197"/>
    <m/>
    <n v="6"/>
    <n v="0.85"/>
    <n v="5.0999999999999996"/>
  </r>
  <r>
    <n v="570672"/>
    <x v="95"/>
    <s v="France"/>
    <n v="12536"/>
    <n v="21888"/>
    <m/>
    <n v="4"/>
    <n v="3.75"/>
    <n v="15"/>
  </r>
  <r>
    <n v="570833"/>
    <x v="96"/>
    <s v="United Kingdom"/>
    <n v="14834"/>
    <n v="22197"/>
    <m/>
    <n v="24"/>
    <n v="0.85"/>
    <n v="20.399999999999999"/>
  </r>
  <r>
    <n v="570851"/>
    <x v="96"/>
    <s v="France"/>
    <n v="12583"/>
    <n v="22197"/>
    <m/>
    <n v="12"/>
    <n v="0.85"/>
    <n v="10.199999999999999"/>
  </r>
  <r>
    <n v="570964"/>
    <x v="97"/>
    <s v="Portugal"/>
    <n v="12766"/>
    <n v="21888"/>
    <m/>
    <n v="4"/>
    <n v="3.75"/>
    <n v="15"/>
  </r>
  <r>
    <n v="571227"/>
    <x v="98"/>
    <s v="Germany"/>
    <n v="12477"/>
    <n v="21116"/>
    <m/>
    <n v="6"/>
    <n v="4.95"/>
    <n v="29.700000000000003"/>
  </r>
  <r>
    <n v="571280"/>
    <x v="99"/>
    <s v="United Kingdom"/>
    <n v="18122"/>
    <n v="22197"/>
    <m/>
    <n v="6"/>
    <n v="0.85"/>
    <n v="5.0999999999999996"/>
  </r>
  <r>
    <n v="571328"/>
    <x v="100"/>
    <s v="Germany"/>
    <n v="12473"/>
    <n v="22741"/>
    <m/>
    <n v="48"/>
    <n v="0.85"/>
    <n v="40.799999999999997"/>
  </r>
  <r>
    <n v="571670"/>
    <x v="101"/>
    <s v="Italy"/>
    <n v="12611"/>
    <n v="22197"/>
    <m/>
    <n v="12"/>
    <n v="0.85"/>
    <n v="10.199999999999999"/>
  </r>
  <r>
    <n v="571904"/>
    <x v="102"/>
    <s v="Germany"/>
    <n v="12522"/>
    <n v="21116"/>
    <m/>
    <n v="3"/>
    <n v="4.95"/>
    <n v="14.850000000000001"/>
  </r>
  <r>
    <n v="572058"/>
    <x v="103"/>
    <s v="United Kingdom"/>
    <n v="18252"/>
    <n v="23417"/>
    <m/>
    <n v="1"/>
    <n v="1.65"/>
    <n v="1.65"/>
  </r>
  <r>
    <n v="572065"/>
    <x v="103"/>
    <s v="Spain"/>
    <n v="12556"/>
    <n v="22197"/>
    <m/>
    <n v="3"/>
    <n v="0.85"/>
    <n v="2.5499999999999998"/>
  </r>
  <r>
    <n v="572327"/>
    <x v="104"/>
    <s v="United Kingdom"/>
    <n v="15277"/>
    <n v="21888"/>
    <m/>
    <n v="8"/>
    <n v="3.75"/>
    <n v="30"/>
  </r>
  <r>
    <n v="572887"/>
    <x v="105"/>
    <s v="Belgium"/>
    <n v="12362"/>
    <n v="22174"/>
    <m/>
    <n v="12"/>
    <n v="1.65"/>
    <n v="19.799999999999997"/>
  </r>
  <r>
    <n v="573333"/>
    <x v="106"/>
    <s v="Sweden"/>
    <n v="12483"/>
    <n v="21888"/>
    <m/>
    <n v="4"/>
    <n v="3.75"/>
    <n v="15"/>
  </r>
  <r>
    <n v="573343"/>
    <x v="106"/>
    <s v="United Kingdom"/>
    <n v="13566"/>
    <n v="21888"/>
    <m/>
    <n v="2"/>
    <n v="3.75"/>
    <n v="7.5"/>
  </r>
  <r>
    <n v="573656"/>
    <x v="107"/>
    <s v="Belgium"/>
    <n v="12417"/>
    <n v="22741"/>
    <m/>
    <n v="48"/>
    <n v="0.85"/>
    <n v="40.799999999999997"/>
  </r>
  <r>
    <n v="573814"/>
    <x v="108"/>
    <s v="United Kingdom"/>
    <n v="13268"/>
    <n v="23417"/>
    <m/>
    <n v="4"/>
    <n v="1.65"/>
    <n v="6.6"/>
  </r>
  <r>
    <n v="573889"/>
    <x v="108"/>
    <s v="United Kingdom"/>
    <n v="13571"/>
    <n v="22197"/>
    <m/>
    <n v="15"/>
    <n v="0.85"/>
    <n v="12.75"/>
  </r>
  <r>
    <n v="574093"/>
    <x v="109"/>
    <s v="France"/>
    <n v="12437"/>
    <n v="22197"/>
    <m/>
    <n v="12"/>
    <n v="0.85"/>
    <n v="10.199999999999999"/>
  </r>
  <r>
    <n v="574329"/>
    <x v="110"/>
    <s v="Belgium"/>
    <n v="12362"/>
    <n v="22197"/>
    <m/>
    <n v="36"/>
    <n v="0.85"/>
    <n v="30.599999999999998"/>
  </r>
  <r>
    <n v="574501"/>
    <x v="110"/>
    <s v="France"/>
    <n v="12577"/>
    <n v="22174"/>
    <m/>
    <n v="3"/>
    <n v="1.65"/>
    <n v="4.9499999999999993"/>
  </r>
  <r>
    <n v="574506"/>
    <x v="110"/>
    <s v="France"/>
    <n v="12577"/>
    <n v="22197"/>
    <m/>
    <n v="2"/>
    <n v="0.85"/>
    <n v="1.7"/>
  </r>
  <r>
    <n v="574506"/>
    <x v="110"/>
    <s v="France"/>
    <n v="12577"/>
    <n v="22197"/>
    <m/>
    <n v="4"/>
    <n v="0.85"/>
    <n v="3.4"/>
  </r>
  <r>
    <n v="574550"/>
    <x v="110"/>
    <s v="Spain"/>
    <n v="12484"/>
    <n v="22197"/>
    <m/>
    <n v="12"/>
    <n v="0.85"/>
    <n v="10.199999999999999"/>
  </r>
  <r>
    <n v="574575"/>
    <x v="110"/>
    <s v="United Kingdom"/>
    <n v="14971"/>
    <n v="22694"/>
    <m/>
    <n v="2"/>
    <n v="2.1"/>
    <n v="4.2"/>
  </r>
  <r>
    <n v="574709"/>
    <x v="111"/>
    <s v="United Kingdom"/>
    <n v="17768"/>
    <n v="22197"/>
    <m/>
    <n v="22"/>
    <n v="0.85"/>
    <n v="18.7"/>
  </r>
  <r>
    <n v="574714"/>
    <x v="111"/>
    <s v="United Kingdom"/>
    <n v="15427"/>
    <n v="22197"/>
    <m/>
    <n v="4"/>
    <n v="0.85"/>
    <n v="3.4"/>
  </r>
  <r>
    <n v="574740"/>
    <x v="111"/>
    <s v="Switzerland"/>
    <n v="12357"/>
    <n v="22190"/>
    <m/>
    <n v="12"/>
    <n v="2.1"/>
    <n v="25.200000000000003"/>
  </r>
  <r>
    <n v="574740"/>
    <x v="111"/>
    <s v="Switzerland"/>
    <n v="12357"/>
    <n v="21116"/>
    <m/>
    <n v="16"/>
    <n v="4.25"/>
    <n v="68"/>
  </r>
  <r>
    <n v="575067"/>
    <x v="112"/>
    <s v="France"/>
    <n v="12583"/>
    <n v="22197"/>
    <m/>
    <n v="24"/>
    <n v="0.85"/>
    <n v="20.399999999999999"/>
  </r>
  <r>
    <n v="575331"/>
    <x v="113"/>
    <s v="United Kingdom"/>
    <n v="13209"/>
    <n v="22197"/>
    <m/>
    <n v="12"/>
    <n v="0.85"/>
    <n v="10.199999999999999"/>
  </r>
  <r>
    <n v="575507"/>
    <x v="114"/>
    <s v="United Kingdom"/>
    <n v="17197"/>
    <n v="21888"/>
    <m/>
    <n v="4"/>
    <n v="3.75"/>
    <n v="15"/>
  </r>
  <r>
    <n v="575514"/>
    <x v="114"/>
    <s v="Spain"/>
    <n v="12541"/>
    <n v="22197"/>
    <m/>
    <n v="24"/>
    <n v="0.85"/>
    <n v="20.399999999999999"/>
  </r>
  <r>
    <n v="575880"/>
    <x v="115"/>
    <s v="France"/>
    <n v="12726"/>
    <n v="21888"/>
    <m/>
    <n v="4"/>
    <n v="3.75"/>
    <n v="15"/>
  </r>
  <r>
    <n v="575886"/>
    <x v="115"/>
    <s v="Germany"/>
    <n v="12517"/>
    <n v="20713"/>
    <m/>
    <n v="3"/>
    <n v="2.08"/>
    <n v="6.24"/>
  </r>
  <r>
    <n v="576215"/>
    <x v="116"/>
    <s v="United Kingdom"/>
    <n v="17652"/>
    <n v="22197"/>
    <m/>
    <n v="24"/>
    <n v="0.85"/>
    <n v="20.399999999999999"/>
  </r>
  <r>
    <n v="576255"/>
    <x v="116"/>
    <s v="United Kingdom"/>
    <n v="15993"/>
    <n v="22197"/>
    <m/>
    <n v="10"/>
    <n v="0.85"/>
    <n v="8.5"/>
  </r>
  <r>
    <n v="576629"/>
    <x v="117"/>
    <s v="Germany"/>
    <n v="12621"/>
    <n v="62018"/>
    <m/>
    <n v="6"/>
    <n v="1.95"/>
    <n v="11.7"/>
  </r>
  <r>
    <n v="577033"/>
    <x v="118"/>
    <s v="United Kingdom"/>
    <n v="17797"/>
    <n v="22694"/>
    <m/>
    <n v="4"/>
    <n v="2.1"/>
    <n v="8.4"/>
  </r>
  <r>
    <n v="577046"/>
    <x v="118"/>
    <s v="Belgium"/>
    <n v="12449"/>
    <n v="22174"/>
    <m/>
    <n v="12"/>
    <n v="1.65"/>
    <n v="19.799999999999997"/>
  </r>
  <r>
    <n v="577121"/>
    <x v="118"/>
    <s v="France"/>
    <n v="12681"/>
    <n v="22197"/>
    <m/>
    <n v="12"/>
    <n v="0.85"/>
    <n v="10.199999999999999"/>
  </r>
  <r>
    <n v="577152"/>
    <x v="119"/>
    <s v="France"/>
    <n v="14277"/>
    <n v="22741"/>
    <m/>
    <n v="48"/>
    <n v="0.85"/>
    <n v="40.799999999999997"/>
  </r>
  <r>
    <n v="577314"/>
    <x v="119"/>
    <s v="Norway"/>
    <n v="12444"/>
    <n v="22694"/>
    <m/>
    <n v="6"/>
    <n v="2.1"/>
    <n v="12.600000000000001"/>
  </r>
  <r>
    <n v="577316"/>
    <x v="119"/>
    <s v="Italy"/>
    <n v="12578"/>
    <n v="21888"/>
    <m/>
    <n v="4"/>
    <n v="3.75"/>
    <n v="15"/>
  </r>
  <r>
    <n v="577476"/>
    <x v="120"/>
    <s v="Spain"/>
    <n v="12540"/>
    <n v="21116"/>
    <m/>
    <n v="6"/>
    <n v="4.95"/>
    <n v="29.700000000000003"/>
  </r>
  <r>
    <n v="577476"/>
    <x v="120"/>
    <s v="Spain"/>
    <n v="12540"/>
    <n v="22741"/>
    <m/>
    <n v="48"/>
    <n v="0.85"/>
    <n v="40.799999999999997"/>
  </r>
  <r>
    <n v="577938"/>
    <x v="121"/>
    <s v="United Kingdom"/>
    <n v="15525"/>
    <n v="22197"/>
    <m/>
    <n v="2"/>
    <n v="0.85"/>
    <n v="1.7"/>
  </r>
  <r>
    <n v="578108"/>
    <x v="122"/>
    <s v="Italy"/>
    <n v="14912"/>
    <n v="22197"/>
    <m/>
    <n v="100"/>
    <n v="0.72"/>
    <n v="72"/>
  </r>
  <r>
    <n v="578147"/>
    <x v="122"/>
    <s v="United Kingdom"/>
    <n v="12748"/>
    <n v="22197"/>
    <m/>
    <n v="4"/>
    <n v="0.85"/>
    <n v="3.4"/>
  </r>
  <r>
    <n v="578781"/>
    <x v="123"/>
    <s v="United Kingdom"/>
    <n v="15872"/>
    <n v="62018"/>
    <m/>
    <n v="1"/>
    <n v="1.95"/>
    <n v="1.95"/>
  </r>
  <r>
    <n v="578949"/>
    <x v="124"/>
    <s v="United Kingdom"/>
    <n v="14954"/>
    <n v="21260"/>
    <m/>
    <n v="1"/>
    <n v="3.25"/>
    <n v="3.25"/>
  </r>
  <r>
    <n v="579135"/>
    <x v="125"/>
    <s v="United Kingdom"/>
    <n v="18096"/>
    <n v="22197"/>
    <m/>
    <n v="20"/>
    <n v="0.85"/>
    <n v="17"/>
  </r>
  <r>
    <n v="579503"/>
    <x v="126"/>
    <s v="Spain"/>
    <n v="17097"/>
    <n v="20713"/>
    <m/>
    <n v="1"/>
    <n v="2.08"/>
    <n v="2.08"/>
  </r>
  <r>
    <n v="579692"/>
    <x v="127"/>
    <s v="Norway"/>
    <n v="12433"/>
    <n v="22197"/>
    <m/>
    <n v="100"/>
    <n v="0.72"/>
    <n v="72"/>
  </r>
  <r>
    <n v="580265"/>
    <x v="128"/>
    <s v="Finland"/>
    <n v="12587"/>
    <n v="20713"/>
    <m/>
    <n v="10"/>
    <n v="2.08"/>
    <n v="20.8"/>
  </r>
  <r>
    <n v="580998"/>
    <x v="129"/>
    <s v="United Kingdom"/>
    <n v="16987"/>
    <n v="22694"/>
    <m/>
    <n v="2"/>
    <n v="2.1"/>
    <n v="4.2"/>
  </r>
  <r>
    <n v="581246"/>
    <x v="130"/>
    <s v="United Kingdom"/>
    <n v="15453"/>
    <n v="22694"/>
    <m/>
    <n v="1"/>
    <n v="2.1"/>
    <n v="2.1"/>
  </r>
  <r>
    <n v="581253"/>
    <x v="130"/>
    <s v="United Kingdom"/>
    <n v="16891"/>
    <n v="22694"/>
    <m/>
    <n v="4"/>
    <n v="2.1"/>
    <n v="8.4"/>
  </r>
  <r>
    <n v="581412"/>
    <x v="130"/>
    <s v="United Kingdom"/>
    <n v="14415"/>
    <n v="20713"/>
    <m/>
    <n v="5"/>
    <n v="2.08"/>
    <n v="10.4"/>
  </r>
  <r>
    <n v="581476"/>
    <x v="131"/>
    <s v="Norway"/>
    <n v="12433"/>
    <n v="22197"/>
    <m/>
    <n v="100"/>
    <n v="0.72"/>
    <n v="7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s v="Afghanistan"/>
    <x v="0"/>
    <n v="38041754"/>
    <n v="652230"/>
  </r>
  <r>
    <s v="Albania"/>
    <x v="1"/>
    <n v="2854191"/>
    <n v="28748"/>
  </r>
  <r>
    <s v="Algeria"/>
    <x v="2"/>
    <n v="43053054"/>
    <n v="2381741"/>
  </r>
  <r>
    <s v="Andorra"/>
    <x v="1"/>
    <n v="77142"/>
    <n v="468"/>
  </r>
  <r>
    <s v="Angola"/>
    <x v="3"/>
    <n v="31825295"/>
    <n v="1246700"/>
  </r>
  <r>
    <s v="Antigua and Barbuda"/>
    <x v="4"/>
    <n v="97118"/>
    <n v="442.6"/>
  </r>
  <r>
    <s v="Argentina"/>
    <x v="4"/>
    <n v="44938712"/>
    <n v="2780400"/>
  </r>
  <r>
    <s v="Armenia"/>
    <x v="1"/>
    <n v="2957731"/>
    <n v="29743"/>
  </r>
  <r>
    <s v="Australia"/>
    <x v="5"/>
    <n v="25364307"/>
    <n v="7741220"/>
  </r>
  <r>
    <s v="Austria"/>
    <x v="1"/>
    <n v="8877067"/>
    <n v="83871"/>
  </r>
  <r>
    <s v="Azerbaijan"/>
    <x v="1"/>
    <n v="10023318"/>
    <n v="86600"/>
  </r>
  <r>
    <s v="Bahrain"/>
    <x v="2"/>
    <n v="1641172"/>
    <n v="765.3"/>
  </r>
  <r>
    <s v="Bangladesh"/>
    <x v="0"/>
    <n v="163046161"/>
    <n v="148460"/>
  </r>
  <r>
    <s v="Belarus"/>
    <x v="1"/>
    <n v="9466856"/>
    <n v="207600"/>
  </r>
  <r>
    <s v="Belgium"/>
    <x v="1"/>
    <n v="11484055"/>
    <n v="30528"/>
  </r>
  <r>
    <s v="Belize"/>
    <x v="4"/>
    <n v="390353"/>
    <n v="22966"/>
  </r>
  <r>
    <s v="Benin"/>
    <x v="3"/>
    <n v="11801151"/>
    <n v="112622"/>
  </r>
  <r>
    <s v="Bhutan"/>
    <x v="0"/>
    <n v="763092"/>
    <n v="38394"/>
  </r>
  <r>
    <s v="Bolivia"/>
    <x v="4"/>
    <n v="11513100"/>
    <n v="1098581"/>
  </r>
  <r>
    <s v="Bosnia and Herzegovina"/>
    <x v="1"/>
    <n v="3301000"/>
    <n v="51197"/>
  </r>
  <r>
    <s v="Botswana"/>
    <x v="3"/>
    <n v="2303697"/>
    <n v="581730"/>
  </r>
  <r>
    <s v="Brazil"/>
    <x v="4"/>
    <n v="212559417"/>
    <n v="8515770"/>
  </r>
  <r>
    <s v="Brunei Darussalam"/>
    <x v="5"/>
    <n v="433285"/>
    <n v="5765"/>
  </r>
  <r>
    <s v="Bulgaria"/>
    <x v="1"/>
    <n v="6975761"/>
    <n v="110879"/>
  </r>
  <r>
    <s v="Burkina Faso"/>
    <x v="3"/>
    <n v="20321378"/>
    <n v="274200"/>
  </r>
  <r>
    <s v="Burundi"/>
    <x v="3"/>
    <n v="11530580"/>
    <n v="27830"/>
  </r>
  <r>
    <s v="Cabo Verde"/>
    <x v="3"/>
    <n v="549935"/>
    <n v="4033"/>
  </r>
  <r>
    <s v="Cambodia"/>
    <x v="5"/>
    <n v="16486542"/>
    <n v="181035"/>
  </r>
  <r>
    <s v="Cameroon"/>
    <x v="3"/>
    <n v="25876380"/>
    <n v="475440"/>
  </r>
  <r>
    <s v="Canada"/>
    <x v="6"/>
    <n v="37589262"/>
    <n v="9984670"/>
  </r>
  <r>
    <s v="Central African Republic"/>
    <x v="3"/>
    <n v="4745185"/>
    <n v="622984"/>
  </r>
  <r>
    <s v="Chad"/>
    <x v="3"/>
    <n v="15946876"/>
    <n v="1284000"/>
  </r>
  <r>
    <s v="Chile"/>
    <x v="4"/>
    <n v="18952038"/>
    <n v="756096.3"/>
  </r>
  <r>
    <s v="China"/>
    <x v="5"/>
    <n v="1397715000"/>
    <n v="9596960"/>
  </r>
  <r>
    <s v="Colombia"/>
    <x v="4"/>
    <n v="50339443"/>
    <n v="1138910"/>
  </r>
  <r>
    <s v="Comoros"/>
    <x v="3"/>
    <n v="850886"/>
    <n v="2235"/>
  </r>
  <r>
    <s v="Congo, Dem. Rep."/>
    <x v="3"/>
    <n v="86790567"/>
    <n v="2344858"/>
  </r>
  <r>
    <s v="Congo, Rep."/>
    <x v="3"/>
    <n v="5380508"/>
    <n v="342000"/>
  </r>
  <r>
    <s v="Costa Rica"/>
    <x v="4"/>
    <n v="5047561"/>
    <n v="51100"/>
  </r>
  <r>
    <s v="Cote d'Ivoire"/>
    <x v="3"/>
    <n v="25716544"/>
    <n v="322463"/>
  </r>
  <r>
    <s v="Croatia"/>
    <x v="1"/>
    <n v="4067500"/>
    <n v="56594"/>
  </r>
  <r>
    <s v="Cyprus"/>
    <x v="1"/>
    <n v="1198575"/>
    <n v="9251"/>
  </r>
  <r>
    <s v="Czech Republic"/>
    <x v="1"/>
    <n v="10669709"/>
    <n v="78867"/>
  </r>
  <r>
    <s v="Denmark"/>
    <x v="1"/>
    <n v="5818553"/>
    <n v="43094"/>
  </r>
  <r>
    <s v="Djibouti"/>
    <x v="2"/>
    <n v="973560"/>
    <n v="23200"/>
  </r>
  <r>
    <s v="Dominica"/>
    <x v="4"/>
    <n v="71808"/>
    <n v="751"/>
  </r>
  <r>
    <s v="Dominican Republic"/>
    <x v="4"/>
    <n v="10738958"/>
    <n v="48670"/>
  </r>
  <r>
    <s v="Ecuador"/>
    <x v="4"/>
    <n v="17373662"/>
    <n v="283561"/>
  </r>
  <r>
    <s v="Egypt, Arab Rep."/>
    <x v="2"/>
    <n v="100388073"/>
    <n v="1001450"/>
  </r>
  <r>
    <s v="El Salvador"/>
    <x v="4"/>
    <n v="6453553"/>
    <n v="21041"/>
  </r>
  <r>
    <s v="Equatorial Guinea"/>
    <x v="3"/>
    <n v="1355986"/>
    <n v="28051"/>
  </r>
  <r>
    <s v="Estonia"/>
    <x v="1"/>
    <n v="1326590"/>
    <n v="45228"/>
  </r>
  <r>
    <s v="Eswatini"/>
    <x v="3"/>
    <n v="1093238"/>
    <n v="17364"/>
  </r>
  <r>
    <s v="Ethiopia"/>
    <x v="3"/>
    <n v="112078730"/>
    <n v="1104300"/>
  </r>
  <r>
    <s v="Fiji"/>
    <x v="5"/>
    <n v="889953"/>
    <n v="18274"/>
  </r>
  <r>
    <s v="Finland"/>
    <x v="1"/>
    <n v="5520314"/>
    <n v="338145"/>
  </r>
  <r>
    <s v="France"/>
    <x v="1"/>
    <n v="67059887"/>
    <n v="643801"/>
  </r>
  <r>
    <s v="Gabon"/>
    <x v="3"/>
    <n v="2172579"/>
    <n v="267667"/>
  </r>
  <r>
    <s v="Gambia, The"/>
    <x v="3"/>
    <n v="2347706"/>
    <n v="11300"/>
  </r>
  <r>
    <s v="Georgia"/>
    <x v="1"/>
    <n v="3720382"/>
    <n v="69700"/>
  </r>
  <r>
    <s v="Germany"/>
    <x v="1"/>
    <n v="83132799"/>
    <n v="357022"/>
  </r>
  <r>
    <s v="Ghana"/>
    <x v="3"/>
    <n v="30417856"/>
    <n v="238533"/>
  </r>
  <r>
    <s v="Greece"/>
    <x v="1"/>
    <n v="10716322"/>
    <n v="131957"/>
  </r>
  <r>
    <s v="Grenada"/>
    <x v="4"/>
    <n v="112003"/>
    <n v="348.5"/>
  </r>
  <r>
    <s v="Guatemala"/>
    <x v="4"/>
    <n v="16604026"/>
    <n v="108889"/>
  </r>
  <r>
    <s v="Guinea"/>
    <x v="3"/>
    <n v="12771246"/>
    <n v="245857"/>
  </r>
  <r>
    <s v="Guinea-Bissau"/>
    <x v="3"/>
    <n v="1920922"/>
    <n v="36125"/>
  </r>
  <r>
    <s v="Guyana"/>
    <x v="4"/>
    <n v="782766"/>
    <n v="214969"/>
  </r>
  <r>
    <s v="Haiti"/>
    <x v="4"/>
    <n v="11263077"/>
    <n v="27750"/>
  </r>
  <r>
    <s v="Honduras"/>
    <x v="4"/>
    <n v="9746117"/>
    <n v="112090"/>
  </r>
  <r>
    <s v="Hong Kong SAR, China"/>
    <x v="5"/>
    <n v="7507400"/>
    <n v="1108"/>
  </r>
  <r>
    <s v="Hungary"/>
    <x v="1"/>
    <n v="9769949"/>
    <n v="93028"/>
  </r>
  <r>
    <s v="Iceland"/>
    <x v="1"/>
    <n v="361313"/>
    <n v="103000"/>
  </r>
  <r>
    <s v="India"/>
    <x v="0"/>
    <n v="1366417754"/>
    <n v="3287263"/>
  </r>
  <r>
    <s v="Indonesia"/>
    <x v="5"/>
    <n v="270625568"/>
    <n v="1904569"/>
  </r>
  <r>
    <s v="Iraq"/>
    <x v="2"/>
    <n v="39309783"/>
    <n v="438317"/>
  </r>
  <r>
    <s v="Ireland"/>
    <x v="1"/>
    <n v="4941444"/>
    <n v="70273"/>
  </r>
  <r>
    <s v="Israel"/>
    <x v="2"/>
    <n v="9053300"/>
    <n v="20770"/>
  </r>
  <r>
    <s v="Italy"/>
    <x v="1"/>
    <n v="60297396"/>
    <n v="301340"/>
  </r>
  <r>
    <s v="Jamaica"/>
    <x v="4"/>
    <n v="2948279"/>
    <n v="10991"/>
  </r>
  <r>
    <s v="Japan"/>
    <x v="5"/>
    <n v="126264931"/>
    <n v="377944"/>
  </r>
  <r>
    <s v="Jordan"/>
    <x v="2"/>
    <n v="10101694"/>
    <n v="89342"/>
  </r>
  <r>
    <s v="Kazakhstan"/>
    <x v="1"/>
    <n v="18513930"/>
    <n v="2724900"/>
  </r>
  <r>
    <s v="Kenya"/>
    <x v="3"/>
    <n v="52573973"/>
    <n v="580367"/>
  </r>
  <r>
    <s v="Kiribati"/>
    <x v="5"/>
    <n v="117606"/>
    <n v="811"/>
  </r>
  <r>
    <s v="Korea, Rep."/>
    <x v="5"/>
    <n v="51709098"/>
    <n v="99720"/>
  </r>
  <r>
    <s v="Kuwait"/>
    <x v="2"/>
    <n v="4207083"/>
    <n v="17818"/>
  </r>
  <r>
    <s v="Kyrgyz Republic"/>
    <x v="1"/>
    <n v="6456900"/>
    <n v="199951"/>
  </r>
  <r>
    <s v="Latvia"/>
    <x v="1"/>
    <n v="1912789"/>
    <n v="64589"/>
  </r>
  <r>
    <s v="Lebanon"/>
    <x v="2"/>
    <n v="6855713"/>
    <n v="10400"/>
  </r>
  <r>
    <s v="Lesotho"/>
    <x v="3"/>
    <n v="2125268"/>
    <n v="30355"/>
  </r>
  <r>
    <s v="Liberia"/>
    <x v="3"/>
    <n v="4937374"/>
    <n v="111369"/>
  </r>
  <r>
    <s v="Libya"/>
    <x v="2"/>
    <n v="6777452"/>
    <n v="1759540"/>
  </r>
  <r>
    <s v="Lithuania"/>
    <x v="1"/>
    <n v="2786844"/>
    <n v="65300"/>
  </r>
  <r>
    <s v="Luxembourg"/>
    <x v="1"/>
    <n v="619896"/>
    <n v="2586"/>
  </r>
  <r>
    <s v="Macao SAR, China"/>
    <x v="5"/>
    <n v="696100"/>
    <n v="28.2"/>
  </r>
  <r>
    <s v="Madagascar"/>
    <x v="3"/>
    <n v="26969307"/>
    <n v="587041"/>
  </r>
  <r>
    <s v="Malawi"/>
    <x v="3"/>
    <n v="18628747"/>
    <n v="118484"/>
  </r>
  <r>
    <s v="Malaysia"/>
    <x v="5"/>
    <n v="31949777"/>
    <n v="329847"/>
  </r>
  <r>
    <s v="Maldives"/>
    <x v="0"/>
    <n v="530953"/>
    <n v="298"/>
  </r>
  <r>
    <s v="Mali"/>
    <x v="3"/>
    <n v="19658031"/>
    <n v="1240192"/>
  </r>
  <r>
    <s v="Malta"/>
    <x v="2"/>
    <n v="502653"/>
    <n v="316"/>
  </r>
  <r>
    <s v="Marshall Islands"/>
    <x v="5"/>
    <n v="58791"/>
    <n v="181"/>
  </r>
  <r>
    <s v="Mauritania"/>
    <x v="3"/>
    <n v="4525696"/>
    <n v="1030700"/>
  </r>
  <r>
    <s v="Mauritius"/>
    <x v="3"/>
    <n v="1265711"/>
    <n v="2040"/>
  </r>
  <r>
    <s v="Mexico"/>
    <x v="4"/>
    <n v="127575529"/>
    <n v="1964375"/>
  </r>
  <r>
    <s v="Moldova"/>
    <x v="1"/>
    <n v="2657637"/>
    <n v="33851"/>
  </r>
  <r>
    <s v="Mongolia"/>
    <x v="5"/>
    <n v="3225167"/>
    <n v="1564116"/>
  </r>
  <r>
    <s v="Montenegro"/>
    <x v="1"/>
    <n v="622137"/>
    <n v="13812"/>
  </r>
  <r>
    <s v="Morocco"/>
    <x v="2"/>
    <n v="36471769"/>
    <n v="446550"/>
  </r>
  <r>
    <s v="Mozambique"/>
    <x v="3"/>
    <n v="30366036"/>
    <n v="799380"/>
  </r>
  <r>
    <s v="Myanmar"/>
    <x v="5"/>
    <n v="54045420"/>
    <n v="676578"/>
  </r>
  <r>
    <s v="Namibia"/>
    <x v="3"/>
    <n v="2494530"/>
    <n v="824292"/>
  </r>
  <r>
    <s v="Nepal"/>
    <x v="0"/>
    <n v="28608710"/>
    <n v="147181"/>
  </r>
  <r>
    <s v="Netherlands"/>
    <x v="1"/>
    <n v="17332850"/>
    <n v="41543"/>
  </r>
  <r>
    <s v="New Zealand"/>
    <x v="5"/>
    <n v="4699755"/>
    <n v="268838"/>
  </r>
  <r>
    <s v="Nicaragua"/>
    <x v="4"/>
    <n v="6545502"/>
    <n v="130370"/>
  </r>
  <r>
    <s v="Niger"/>
    <x v="3"/>
    <n v="23310715"/>
    <n v="1267000"/>
  </r>
  <r>
    <s v="Nigeria"/>
    <x v="3"/>
    <n v="200963599"/>
    <n v="923768"/>
  </r>
  <r>
    <s v="North Macedonia"/>
    <x v="1"/>
    <n v="2107158"/>
    <n v="25713"/>
  </r>
  <r>
    <s v="Norway"/>
    <x v="1"/>
    <n v="5347896"/>
    <n v="323802"/>
  </r>
  <r>
    <s v="Oman"/>
    <x v="2"/>
    <n v="4974986"/>
    <n v="309500"/>
  </r>
  <r>
    <s v="Pakistan"/>
    <x v="0"/>
    <n v="216565318"/>
    <n v="796095"/>
  </r>
  <r>
    <s v="Palau"/>
    <x v="5"/>
    <n v="18008"/>
    <n v="459"/>
  </r>
  <r>
    <s v="Panama"/>
    <x v="4"/>
    <n v="4246439"/>
    <n v="75420"/>
  </r>
  <r>
    <s v="Papua New Guinea"/>
    <x v="5"/>
    <n v="8776109"/>
    <n v="462840"/>
  </r>
  <r>
    <s v="Paraguay"/>
    <x v="4"/>
    <n v="7044636"/>
    <n v="406752"/>
  </r>
  <r>
    <s v="Peru"/>
    <x v="4"/>
    <n v="32510453"/>
    <n v="1285216"/>
  </r>
  <r>
    <s v="Philippines"/>
    <x v="5"/>
    <n v="108116615"/>
    <n v="300000"/>
  </r>
  <r>
    <s v="Poland"/>
    <x v="1"/>
    <n v="37970874"/>
    <n v="312685"/>
  </r>
  <r>
    <s v="Portugal"/>
    <x v="1"/>
    <n v="10269417"/>
    <n v="92212"/>
  </r>
  <r>
    <s v="Puerto Rico"/>
    <x v="4"/>
    <n v="3193694"/>
    <n v="13791"/>
  </r>
  <r>
    <s v="Qatar"/>
    <x v="2"/>
    <n v="2832067"/>
    <n v="11586"/>
  </r>
  <r>
    <s v="Romania"/>
    <x v="1"/>
    <n v="19356544"/>
    <n v="238391"/>
  </r>
  <r>
    <s v="Russian Federation"/>
    <x v="1"/>
    <n v="144373535"/>
    <n v="17098240"/>
  </r>
  <r>
    <s v="Rwanda"/>
    <x v="3"/>
    <n v="12626950"/>
    <n v="26338"/>
  </r>
  <r>
    <s v="Samoa"/>
    <x v="5"/>
    <n v="202506"/>
    <n v="2831"/>
  </r>
  <r>
    <s v="Sao Tome and Principe"/>
    <x v="3"/>
    <n v="215056"/>
    <n v="964"/>
  </r>
  <r>
    <s v="Saudi Arabia"/>
    <x v="2"/>
    <n v="34268528"/>
    <n v="2149690"/>
  </r>
  <r>
    <s v="Senegal"/>
    <x v="3"/>
    <n v="16296364"/>
    <n v="196722"/>
  </r>
  <r>
    <s v="Serbia"/>
    <x v="1"/>
    <n v="6944975"/>
    <n v="77474"/>
  </r>
  <r>
    <s v="Seychelles"/>
    <x v="3"/>
    <n v="97625"/>
    <n v="455"/>
  </r>
  <r>
    <s v="Sierra Leone"/>
    <x v="3"/>
    <n v="7813215"/>
    <n v="71740"/>
  </r>
  <r>
    <s v="Singapore"/>
    <x v="5"/>
    <n v="5703569"/>
    <n v="716.1"/>
  </r>
  <r>
    <s v="Slovak Republic"/>
    <x v="1"/>
    <n v="5454073"/>
    <n v="49035"/>
  </r>
  <r>
    <s v="Slovenia"/>
    <x v="1"/>
    <n v="2087946"/>
    <n v="20273"/>
  </r>
  <r>
    <s v="Solomon Islands"/>
    <x v="5"/>
    <n v="669823"/>
    <n v="28896"/>
  </r>
  <r>
    <s v="Somalia"/>
    <x v="3"/>
    <n v="15442905"/>
    <n v="637657"/>
  </r>
  <r>
    <s v="South Africa"/>
    <x v="3"/>
    <n v="58558270"/>
    <n v="1219090"/>
  </r>
  <r>
    <s v="Spain"/>
    <x v="1"/>
    <n v="47076781"/>
    <n v="505370"/>
  </r>
  <r>
    <s v="Sri Lanka"/>
    <x v="0"/>
    <n v="21803000"/>
    <n v="65610"/>
  </r>
  <r>
    <s v="St. Kitts and Nevis"/>
    <x v="4"/>
    <n v="52823"/>
    <n v="261"/>
  </r>
  <r>
    <s v="St. Lucia"/>
    <x v="4"/>
    <n v="182790"/>
    <n v="616"/>
  </r>
  <r>
    <s v="St. Vincent and the Grenadines"/>
    <x v="4"/>
    <n v="110589"/>
    <n v="389"/>
  </r>
  <r>
    <s v="Suriname"/>
    <x v="4"/>
    <n v="581372"/>
    <n v="163820"/>
  </r>
  <r>
    <s v="Sweden"/>
    <x v="1"/>
    <n v="10285453"/>
    <n v="450295"/>
  </r>
  <r>
    <s v="Switzerland"/>
    <x v="1"/>
    <n v="8574832"/>
    <n v="41277"/>
  </r>
  <r>
    <s v="Tajikistan"/>
    <x v="1"/>
    <n v="9321018"/>
    <n v="144100"/>
  </r>
  <r>
    <s v="Tanzania"/>
    <x v="3"/>
    <n v="58005463"/>
    <n v="947300"/>
  </r>
  <r>
    <s v="Thailand"/>
    <x v="5"/>
    <n v="69625582"/>
    <n v="513120"/>
  </r>
  <r>
    <s v="Timor-Leste"/>
    <x v="5"/>
    <n v="3500000"/>
    <n v="14874"/>
  </r>
  <r>
    <s v="Togo"/>
    <x v="3"/>
    <n v="8082366"/>
    <n v="56785"/>
  </r>
  <r>
    <s v="Tonga"/>
    <x v="5"/>
    <n v="104494"/>
    <n v="747"/>
  </r>
  <r>
    <s v="Trinidad and Tobago"/>
    <x v="4"/>
    <n v="1394973"/>
    <n v="5128"/>
  </r>
  <r>
    <s v="Tunisia"/>
    <x v="2"/>
    <n v="11694719"/>
    <n v="163610"/>
  </r>
  <r>
    <s v="Turkey"/>
    <x v="1"/>
    <n v="83429615"/>
    <n v="783562"/>
  </r>
  <r>
    <s v="Turkmenistan"/>
    <x v="1"/>
    <n v="5942089"/>
    <n v="488100"/>
  </r>
  <r>
    <s v="Turks and Caicos Islands"/>
    <x v="4"/>
    <n v="42953"/>
    <n v="948"/>
  </r>
  <r>
    <s v="Tuvalu"/>
    <x v="5"/>
    <n v="11646"/>
    <n v="26"/>
  </r>
  <r>
    <s v="Uganda"/>
    <x v="3"/>
    <n v="44269594"/>
    <n v="241038"/>
  </r>
  <r>
    <s v="Ukraine"/>
    <x v="1"/>
    <n v="44385155"/>
    <n v="603550"/>
  </r>
  <r>
    <s v="United Arab Emirates"/>
    <x v="2"/>
    <n v="9770529"/>
    <n v="83600"/>
  </r>
  <r>
    <s v="United Kingdom"/>
    <x v="1"/>
    <n v="66834405"/>
    <n v="243610"/>
  </r>
  <r>
    <s v="United States"/>
    <x v="6"/>
    <n v="328239523"/>
    <n v="9833517"/>
  </r>
  <r>
    <s v="Uruguay"/>
    <x v="4"/>
    <n v="3461734"/>
    <n v="176215"/>
  </r>
  <r>
    <s v="Uzbekistan"/>
    <x v="1"/>
    <n v="33580650"/>
    <n v="447400"/>
  </r>
  <r>
    <s v="Vanuatu"/>
    <x v="5"/>
    <n v="299882"/>
    <n v="12189"/>
  </r>
  <r>
    <s v="Vietnam"/>
    <x v="5"/>
    <n v="96462106"/>
    <n v="331210"/>
  </r>
  <r>
    <s v="Yemen, Rep."/>
    <x v="2"/>
    <n v="29161922"/>
    <n v="527968"/>
  </r>
  <r>
    <s v="Zambia"/>
    <x v="3"/>
    <n v="17861030"/>
    <n v="752618"/>
  </r>
  <r>
    <s v="Zimbabwe"/>
    <x v="3"/>
    <n v="14645468"/>
    <n v="39075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d v="2020-01-01T00:00:00"/>
    <d v="1899-12-30T02:24:00"/>
    <s v="Bronx"/>
    <x v="0"/>
    <s v="Taxi"/>
    <n v="3"/>
  </r>
  <r>
    <d v="2020-01-03T00:00:00"/>
    <d v="1899-12-30T05:20:00"/>
    <s v="Manhattan"/>
    <x v="0"/>
    <s v="Pick-up Truck"/>
    <n v="1"/>
  </r>
  <r>
    <d v="2020-01-04T00:00:00"/>
    <d v="1899-12-30T04:42:00"/>
    <s v="Manhattan"/>
    <x v="0"/>
    <s v="Sedan"/>
    <n v="0"/>
  </r>
  <r>
    <d v="2020-01-05T00:00:00"/>
    <d v="1899-12-30T06:48:00"/>
    <s v="Bronx"/>
    <x v="1"/>
    <s v="Sedan"/>
    <n v="2"/>
  </r>
  <r>
    <d v="2020-01-05T00:00:00"/>
    <d v="1899-12-30T08:00:00"/>
    <s v="Queens"/>
    <x v="2"/>
    <s v="Taxi"/>
    <n v="0"/>
  </r>
  <r>
    <d v="2020-01-05T00:00:00"/>
    <d v="1899-12-30T17:05:00"/>
    <s v="Manhattan"/>
    <x v="3"/>
    <s v="Sedan"/>
    <n v="0"/>
  </r>
  <r>
    <d v="2020-01-07T00:00:00"/>
    <d v="1899-12-30T21:00:00"/>
    <s v="Brooklyn"/>
    <x v="4"/>
    <s v="Sedan"/>
    <n v="0"/>
  </r>
  <r>
    <d v="2020-01-08T00:00:00"/>
    <d v="1899-12-30T18:00:00"/>
    <s v="Brooklyn"/>
    <x v="0"/>
    <s v="Sedan"/>
    <n v="0"/>
  </r>
  <r>
    <d v="2020-01-08T00:00:00"/>
    <d v="1899-12-30T22:39:00"/>
    <s v="Bronx"/>
    <x v="3"/>
    <s v="Sedan"/>
    <n v="0"/>
  </r>
  <r>
    <d v="2020-01-09T00:00:00"/>
    <d v="1899-12-30T00:02:00"/>
    <s v="Manhattan"/>
    <x v="1"/>
    <s v="Sedan"/>
    <n v="1"/>
  </r>
  <r>
    <d v="2020-01-09T00:00:00"/>
    <d v="1899-12-30T14:00:00"/>
    <s v="Manhattan"/>
    <x v="0"/>
    <s v="Bike"/>
    <n v="0"/>
  </r>
  <r>
    <d v="2020-01-10T00:00:00"/>
    <d v="1899-12-30T13:10:00"/>
    <s v="Manhattan"/>
    <x v="5"/>
    <s v="Van"/>
    <n v="0"/>
  </r>
  <r>
    <d v="2020-01-10T00:00:00"/>
    <d v="1899-12-30T20:25:00"/>
    <s v="Queens"/>
    <x v="0"/>
    <s v="Bike"/>
    <n v="1"/>
  </r>
  <r>
    <d v="2020-01-10T00:00:00"/>
    <d v="1899-12-30T20:31:00"/>
    <s v="Manhattan"/>
    <x v="0"/>
    <s v="Taxi"/>
    <n v="0"/>
  </r>
  <r>
    <d v="2020-01-10T00:00:00"/>
    <d v="1899-12-30T23:36:00"/>
    <s v="Brooklyn"/>
    <x v="0"/>
    <s v="Sedan"/>
    <n v="0"/>
  </r>
  <r>
    <d v="2020-01-11T00:00:00"/>
    <d v="1899-12-30T11:20:00"/>
    <s v="Queens"/>
    <x v="0"/>
    <s v="Taxi"/>
    <n v="1"/>
  </r>
  <r>
    <d v="2020-01-12T00:00:00"/>
    <d v="1899-12-30T17:05:00"/>
    <s v="Manhattan"/>
    <x v="0"/>
    <s v="Sedan"/>
    <n v="0"/>
  </r>
  <r>
    <d v="2020-01-12T00:00:00"/>
    <d v="1899-12-30T19:00:00"/>
    <s v="Queens"/>
    <x v="0"/>
    <s v="Sedan"/>
    <n v="0"/>
  </r>
  <r>
    <d v="2020-01-13T00:00:00"/>
    <d v="1899-12-30T01:40:00"/>
    <s v="Queens"/>
    <x v="6"/>
    <s v="Taxi"/>
    <n v="1"/>
  </r>
  <r>
    <d v="2020-01-14T00:00:00"/>
    <d v="1899-12-30T07:20:00"/>
    <s v="Bronx"/>
    <x v="3"/>
    <s v="Sedan"/>
    <n v="0"/>
  </r>
  <r>
    <d v="2020-01-14T00:00:00"/>
    <d v="1899-12-30T13:49:00"/>
    <s v="Queens"/>
    <x v="5"/>
    <s v="Sedan"/>
    <n v="0"/>
  </r>
  <r>
    <d v="2020-01-15T00:00:00"/>
    <d v="1899-12-30T19:32:00"/>
    <s v="Manhattan"/>
    <x v="5"/>
    <s v="E-Bike"/>
    <n v="1"/>
  </r>
  <r>
    <d v="2020-01-15T00:00:00"/>
    <d v="1899-12-30T19:45:00"/>
    <s v="Queens"/>
    <x v="0"/>
    <s v="Sedan"/>
    <n v="1"/>
  </r>
  <r>
    <d v="2020-01-16T00:00:00"/>
    <d v="1899-12-30T11:15:00"/>
    <s v="Queens"/>
    <x v="3"/>
    <s v="Sedan"/>
    <n v="0"/>
  </r>
  <r>
    <d v="2020-01-16T00:00:00"/>
    <d v="1899-12-30T12:35:00"/>
    <s v="Manhattan"/>
    <x v="0"/>
    <s v="Sedan"/>
    <n v="0"/>
  </r>
  <r>
    <d v="2020-01-16T00:00:00"/>
    <d v="1899-12-30T15:29:00"/>
    <s v="Bronx"/>
    <x v="7"/>
    <s v="Sedan"/>
    <n v="0"/>
  </r>
  <r>
    <d v="2020-01-19T00:00:00"/>
    <d v="1899-12-30T05:07:00"/>
    <s v="Bronx"/>
    <x v="3"/>
    <s v="Taxi"/>
    <n v="0"/>
  </r>
  <r>
    <d v="2020-01-19T00:00:00"/>
    <d v="1899-12-30T15:30:00"/>
    <s v="Manhattan"/>
    <x v="0"/>
    <s v="Sedan"/>
    <n v="0"/>
  </r>
  <r>
    <d v="2020-01-21T00:00:00"/>
    <d v="1899-12-30T11:30:00"/>
    <s v="Manhattan"/>
    <x v="0"/>
    <s v="Bike"/>
    <n v="0"/>
  </r>
  <r>
    <d v="2020-01-22T00:00:00"/>
    <d v="1899-12-30T04:30:00"/>
    <s v="Manhattan"/>
    <x v="3"/>
    <s v="Sedan"/>
    <n v="0"/>
  </r>
  <r>
    <d v="2020-01-22T00:00:00"/>
    <d v="1899-12-30T18:25:00"/>
    <s v="Manhattan"/>
    <x v="0"/>
    <s v="Taxi"/>
    <n v="0"/>
  </r>
  <r>
    <d v="2020-01-22T00:00:00"/>
    <d v="1899-12-30T19:42:00"/>
    <s v="Manhattan"/>
    <x v="0"/>
    <s v="Sedan"/>
    <n v="0"/>
  </r>
  <r>
    <d v="2020-01-23T00:00:00"/>
    <d v="1899-12-30T08:22:00"/>
    <s v="Manhattan"/>
    <x v="0"/>
    <s v="Sedan"/>
    <n v="0"/>
  </r>
  <r>
    <d v="2020-01-24T00:00:00"/>
    <d v="1899-12-30T22:10:00"/>
    <s v="Manhattan"/>
    <x v="0"/>
    <s v="Taxi"/>
    <n v="0"/>
  </r>
  <r>
    <d v="2020-01-24T00:00:00"/>
    <d v="1899-12-30T23:55:00"/>
    <s v="Manhattan"/>
    <x v="4"/>
    <s v="Sedan"/>
    <n v="0"/>
  </r>
  <r>
    <d v="2020-01-25T00:00:00"/>
    <d v="1899-12-30T16:39:00"/>
    <s v="Bronx"/>
    <x v="3"/>
    <s v="Taxi"/>
    <n v="0"/>
  </r>
  <r>
    <d v="2020-01-27T00:00:00"/>
    <d v="1899-12-30T15:50:00"/>
    <s v="Manhattan"/>
    <x v="0"/>
    <s v="Bike"/>
    <n v="1"/>
  </r>
  <r>
    <d v="2020-01-28T00:00:00"/>
    <d v="1899-12-30T08:10:00"/>
    <s v="Manhattan"/>
    <x v="8"/>
    <s v="Pick-up Truck"/>
    <n v="0"/>
  </r>
  <r>
    <d v="2020-01-28T00:00:00"/>
    <d v="1899-12-30T18:41:00"/>
    <s v="Manhattan"/>
    <x v="0"/>
    <s v="Taxi"/>
    <n v="0"/>
  </r>
  <r>
    <d v="2020-01-29T00:00:00"/>
    <d v="1899-12-30T19:35:00"/>
    <s v="Manhattan"/>
    <x v="0"/>
    <s v="Box Truck"/>
    <n v="0"/>
  </r>
  <r>
    <d v="2020-02-01T00:00:00"/>
    <d v="1899-12-30T00:24:00"/>
    <s v="Brooklyn"/>
    <x v="0"/>
    <s v="Taxi"/>
    <n v="1"/>
  </r>
  <r>
    <d v="2020-02-01T00:00:00"/>
    <d v="1899-12-30T09:55:00"/>
    <s v="Manhattan"/>
    <x v="0"/>
    <s v="Taxi"/>
    <n v="0"/>
  </r>
  <r>
    <d v="2020-02-02T00:00:00"/>
    <d v="1899-12-30T02:00:00"/>
    <s v="Manhattan"/>
    <x v="4"/>
    <s v="Taxi"/>
    <n v="0"/>
  </r>
  <r>
    <d v="2020-02-02T00:00:00"/>
    <d v="1899-12-30T14:30:00"/>
    <s v="Manhattan"/>
    <x v="8"/>
    <s v="Taxi"/>
    <n v="0"/>
  </r>
  <r>
    <d v="2020-02-02T00:00:00"/>
    <d v="1899-12-30T16:16:00"/>
    <s v="Manhattan"/>
    <x v="0"/>
    <s v="Sedan"/>
    <n v="0"/>
  </r>
  <r>
    <d v="2020-02-03T00:00:00"/>
    <d v="1899-12-30T23:33:00"/>
    <s v="Queens"/>
    <x v="0"/>
    <s v="Sedan"/>
    <n v="0"/>
  </r>
  <r>
    <d v="2020-02-04T00:00:00"/>
    <d v="1899-12-30T18:20:00"/>
    <s v="Manhattan"/>
    <x v="6"/>
    <s v="Bus"/>
    <n v="0"/>
  </r>
  <r>
    <d v="2020-02-05T00:00:00"/>
    <d v="1899-12-30T09:30:00"/>
    <s v="Bronx"/>
    <x v="9"/>
    <s v="Taxi"/>
    <n v="1"/>
  </r>
  <r>
    <d v="2020-02-06T00:00:00"/>
    <d v="1899-12-30T12:00:00"/>
    <s v="Manhattan"/>
    <x v="0"/>
    <s v="Sedan"/>
    <n v="0"/>
  </r>
  <r>
    <d v="2020-02-06T00:00:00"/>
    <d v="1899-12-30T18:06:00"/>
    <s v="Bronx"/>
    <x v="0"/>
    <s v="Taxi"/>
    <n v="0"/>
  </r>
  <r>
    <d v="2020-02-06T00:00:00"/>
    <d v="1899-12-30T20:55:00"/>
    <s v="Manhattan"/>
    <x v="0"/>
    <s v="Bike"/>
    <n v="1"/>
  </r>
  <r>
    <d v="2020-02-06T00:00:00"/>
    <d v="1899-12-30T23:30:00"/>
    <s v="Manhattan"/>
    <x v="5"/>
    <s v="Sedan"/>
    <n v="0"/>
  </r>
  <r>
    <d v="2020-02-07T00:00:00"/>
    <d v="1899-12-30T13:12:00"/>
    <s v="Manhattan"/>
    <x v="0"/>
    <s v="Sedan"/>
    <n v="0"/>
  </r>
  <r>
    <d v="2020-02-07T00:00:00"/>
    <d v="1899-12-30T19:45:00"/>
    <s v="Manhattan"/>
    <x v="3"/>
    <s v="Taxi"/>
    <n v="0"/>
  </r>
  <r>
    <d v="2020-02-08T00:00:00"/>
    <d v="1899-12-30T17:20:00"/>
    <s v="Bronx"/>
    <x v="10"/>
    <s v="Bike"/>
    <n v="1"/>
  </r>
  <r>
    <d v="2020-02-09T00:00:00"/>
    <d v="1899-12-30T01:15:00"/>
    <s v="Manhattan"/>
    <x v="5"/>
    <s v="Taxi"/>
    <n v="0"/>
  </r>
  <r>
    <d v="2020-02-09T00:00:00"/>
    <d v="1899-12-30T14:55:00"/>
    <s v="Brooklyn"/>
    <x v="0"/>
    <s v="Taxi"/>
    <n v="0"/>
  </r>
  <r>
    <d v="2020-02-10T00:00:00"/>
    <d v="1899-12-30T01:10:00"/>
    <s v="Manhattan"/>
    <x v="0"/>
    <s v="Taxi"/>
    <n v="0"/>
  </r>
  <r>
    <d v="2020-02-10T00:00:00"/>
    <d v="1899-12-30T09:00:00"/>
    <s v="Bronx"/>
    <x v="3"/>
    <s v="Taxi"/>
    <n v="0"/>
  </r>
  <r>
    <d v="2020-02-12T00:00:00"/>
    <d v="1899-12-30T10:47:00"/>
    <s v="Manhattan"/>
    <x v="0"/>
    <s v="Taxi"/>
    <n v="0"/>
  </r>
  <r>
    <d v="2020-02-12T00:00:00"/>
    <d v="1899-12-30T21:16:00"/>
    <s v="Manhattan"/>
    <x v="0"/>
    <s v="Pick-up Truck"/>
    <n v="0"/>
  </r>
  <r>
    <d v="2020-02-13T00:00:00"/>
    <d v="1899-12-30T15:10:00"/>
    <s v="Manhattan"/>
    <x v="4"/>
    <s v="Taxi"/>
    <n v="0"/>
  </r>
  <r>
    <d v="2020-02-13T00:00:00"/>
    <d v="1899-12-30T20:02:00"/>
    <s v="Manhattan"/>
    <x v="0"/>
    <s v="Sedan"/>
    <n v="2"/>
  </r>
  <r>
    <d v="2020-02-14T00:00:00"/>
    <d v="1899-12-30T11:53:00"/>
    <s v="Manhattan"/>
    <x v="11"/>
    <s v="Taxi"/>
    <n v="0"/>
  </r>
  <r>
    <d v="2020-02-14T00:00:00"/>
    <d v="1899-12-30T15:45:00"/>
    <s v="Queens"/>
    <x v="0"/>
    <s v="Sedan"/>
    <n v="0"/>
  </r>
  <r>
    <d v="2020-02-15T00:00:00"/>
    <d v="1899-12-30T00:47:00"/>
    <s v="Manhattan"/>
    <x v="4"/>
    <s v="Taxi"/>
    <n v="0"/>
  </r>
  <r>
    <d v="2020-02-15T00:00:00"/>
    <d v="1899-12-30T13:46:00"/>
    <s v="Brooklyn"/>
    <x v="5"/>
    <s v="Sedan"/>
    <n v="0"/>
  </r>
  <r>
    <d v="2020-02-19T00:00:00"/>
    <d v="1899-12-30T00:00:00"/>
    <s v="Manhattan"/>
    <x v="4"/>
    <s v="Bike"/>
    <n v="0"/>
  </r>
  <r>
    <d v="2020-02-19T00:00:00"/>
    <d v="1899-12-30T12:30:00"/>
    <s v="Brooklyn"/>
    <x v="3"/>
    <s v="Sedan"/>
    <n v="0"/>
  </r>
  <r>
    <d v="2020-02-19T00:00:00"/>
    <d v="1899-12-30T16:55:00"/>
    <s v="Queens"/>
    <x v="0"/>
    <s v="Sedan"/>
    <n v="0"/>
  </r>
  <r>
    <d v="2020-02-22T00:00:00"/>
    <d v="1899-12-30T21:29:00"/>
    <s v="Manhattan"/>
    <x v="3"/>
    <s v="Sedan"/>
    <n v="0"/>
  </r>
  <r>
    <d v="2020-02-24T00:00:00"/>
    <d v="1899-12-30T11:41:00"/>
    <s v="Manhattan"/>
    <x v="11"/>
    <s v="Sedan"/>
    <n v="0"/>
  </r>
  <r>
    <d v="2020-02-25T00:00:00"/>
    <d v="1899-12-30T11:39:00"/>
    <s v="Queens"/>
    <x v="0"/>
    <s v="Taxi"/>
    <n v="0"/>
  </r>
  <r>
    <d v="2020-02-26T00:00:00"/>
    <d v="1899-12-30T08:50:00"/>
    <s v="Manhattan"/>
    <x v="0"/>
    <s v="Sedan"/>
    <n v="0"/>
  </r>
  <r>
    <d v="2020-02-26T00:00:00"/>
    <d v="1899-12-30T10:30:00"/>
    <s v="Manhattan"/>
    <x v="5"/>
    <s v="Pick-up Truck"/>
    <n v="0"/>
  </r>
  <r>
    <d v="2020-02-27T00:00:00"/>
    <d v="1899-12-30T10:15:00"/>
    <s v="Manhattan"/>
    <x v="0"/>
    <s v="Sedan"/>
    <n v="0"/>
  </r>
  <r>
    <d v="2020-02-27T00:00:00"/>
    <d v="1899-12-30T21:30:00"/>
    <s v="Manhattan"/>
    <x v="3"/>
    <s v="Taxi"/>
    <n v="0"/>
  </r>
  <r>
    <d v="2020-02-28T00:00:00"/>
    <d v="1899-12-30T12:41:00"/>
    <s v="Bronx"/>
    <x v="0"/>
    <s v="Sedan"/>
    <n v="0"/>
  </r>
  <r>
    <d v="2020-02-28T00:00:00"/>
    <d v="1899-12-30T17:30:00"/>
    <s v="Manhattan"/>
    <x v="3"/>
    <s v="Taxi"/>
    <n v="0"/>
  </r>
  <r>
    <d v="2020-02-28T00:00:00"/>
    <d v="1899-12-30T20:00:00"/>
    <s v="Queens"/>
    <x v="0"/>
    <s v="Sedan"/>
    <n v="0"/>
  </r>
  <r>
    <d v="2020-02-29T00:00:00"/>
    <d v="1899-12-30T02:10:00"/>
    <s v="Brooklyn"/>
    <x v="0"/>
    <s v="Sedan"/>
    <n v="0"/>
  </r>
  <r>
    <d v="2020-02-29T00:00:00"/>
    <d v="1899-12-30T15:53:00"/>
    <s v="Manhattan"/>
    <x v="0"/>
    <s v="Bike"/>
    <n v="0"/>
  </r>
  <r>
    <d v="2020-02-29T00:00:00"/>
    <d v="1899-12-30T23:10:00"/>
    <s v="Manhattan"/>
    <x v="0"/>
    <s v="Taxi"/>
    <n v="0"/>
  </r>
  <r>
    <d v="2020-03-01T00:00:00"/>
    <d v="1899-12-30T01:54:00"/>
    <s v="Manhattan"/>
    <x v="0"/>
    <s v="Sedan"/>
    <n v="0"/>
  </r>
  <r>
    <d v="2020-03-01T00:00:00"/>
    <d v="1899-12-30T19:18:00"/>
    <s v="Bronx"/>
    <x v="5"/>
    <s v="Pick-up Truck"/>
    <n v="0"/>
  </r>
  <r>
    <d v="2020-03-01T00:00:00"/>
    <d v="1899-12-30T20:10:00"/>
    <s v="Queens"/>
    <x v="4"/>
    <s v="Sedan"/>
    <n v="0"/>
  </r>
  <r>
    <d v="2020-03-01T00:00:00"/>
    <d v="1899-12-30T22:00:00"/>
    <s v="Manhattan"/>
    <x v="0"/>
    <s v="Taxi"/>
    <n v="0"/>
  </r>
  <r>
    <d v="2020-03-02T00:00:00"/>
    <d v="1899-12-30T11:31:00"/>
    <s v="Manhattan"/>
    <x v="0"/>
    <s v="Sedan"/>
    <n v="0"/>
  </r>
  <r>
    <d v="2020-03-02T00:00:00"/>
    <d v="1899-12-30T12:00:00"/>
    <s v="Manhattan"/>
    <x v="12"/>
    <s v="Van"/>
    <n v="0"/>
  </r>
  <r>
    <d v="2020-03-02T00:00:00"/>
    <d v="1899-12-30T14:50:00"/>
    <s v="Manhattan"/>
    <x v="3"/>
    <s v="Taxi"/>
    <n v="0"/>
  </r>
  <r>
    <d v="2020-03-03T00:00:00"/>
    <d v="1899-12-30T08:40:00"/>
    <s v="Brooklyn"/>
    <x v="13"/>
    <s v="Sedan"/>
    <n v="0"/>
  </r>
  <r>
    <d v="2020-03-03T00:00:00"/>
    <d v="1899-12-30T20:25:00"/>
    <s v="Manhattan"/>
    <x v="0"/>
    <s v="Taxi"/>
    <n v="0"/>
  </r>
  <r>
    <d v="2020-03-04T00:00:00"/>
    <d v="1899-12-30T00:05:00"/>
    <s v="Queens"/>
    <x v="2"/>
    <s v="Bus"/>
    <n v="0"/>
  </r>
  <r>
    <d v="2020-03-05T00:00:00"/>
    <d v="1899-12-30T11:30:00"/>
    <s v="Manhattan"/>
    <x v="4"/>
    <s v="Bus"/>
    <n v="0"/>
  </r>
  <r>
    <d v="2020-03-06T00:00:00"/>
    <d v="1899-12-30T00:32:00"/>
    <s v="Manhattan"/>
    <x v="10"/>
    <s v="Taxi"/>
    <n v="0"/>
  </r>
  <r>
    <d v="2020-03-06T00:00:00"/>
    <d v="1899-12-30T02:21:00"/>
    <s v="Manhattan"/>
    <x v="14"/>
    <s v="Box Truck"/>
    <n v="0"/>
  </r>
  <r>
    <d v="2020-03-06T00:00:00"/>
    <d v="1899-12-30T21:10:00"/>
    <s v="Queens"/>
    <x v="0"/>
    <s v="Sedan"/>
    <n v="1"/>
  </r>
  <r>
    <d v="2020-03-06T00:00:00"/>
    <d v="1899-12-30T21:35:00"/>
    <s v="Manhattan"/>
    <x v="15"/>
    <s v="Sedan"/>
    <n v="0"/>
  </r>
  <r>
    <d v="2020-03-07T00:00:00"/>
    <d v="1899-12-30T13:51:00"/>
    <s v="Manhattan"/>
    <x v="2"/>
    <s v="Sedan"/>
    <n v="0"/>
  </r>
  <r>
    <d v="2020-03-08T00:00:00"/>
    <d v="1899-12-30T03:34:00"/>
    <s v="Manhattan"/>
    <x v="3"/>
    <s v="Taxi"/>
    <n v="0"/>
  </r>
  <r>
    <d v="2020-03-08T00:00:00"/>
    <d v="1899-12-30T05:22:00"/>
    <s v="Queens"/>
    <x v="4"/>
    <s v="Sedan"/>
    <n v="0"/>
  </r>
  <r>
    <d v="2020-03-08T00:00:00"/>
    <d v="1899-12-30T20:00:00"/>
    <s v="Manhattan"/>
    <x v="13"/>
    <s v="Taxi"/>
    <n v="0"/>
  </r>
  <r>
    <d v="2020-03-08T00:00:00"/>
    <d v="1899-12-30T21:50:00"/>
    <s v="Manhattan"/>
    <x v="0"/>
    <s v="Sedan"/>
    <n v="0"/>
  </r>
  <r>
    <d v="2020-03-09T00:00:00"/>
    <d v="1899-12-30T00:29:00"/>
    <s v="Manhattan"/>
    <x v="0"/>
    <s v="Sedan"/>
    <n v="1"/>
  </r>
  <r>
    <d v="2020-03-09T00:00:00"/>
    <d v="1899-12-30T17:48:00"/>
    <s v="Bronx"/>
    <x v="5"/>
    <s v="Sedan"/>
    <n v="0"/>
  </r>
  <r>
    <d v="2020-03-10T00:00:00"/>
    <d v="1899-12-30T18:46:00"/>
    <s v="Manhattan"/>
    <x v="4"/>
    <s v="Sedan"/>
    <n v="0"/>
  </r>
  <r>
    <d v="2020-03-11T00:00:00"/>
    <d v="1899-12-30T12:44:00"/>
    <s v="Manhattan"/>
    <x v="7"/>
    <s v="Sedan"/>
    <n v="0"/>
  </r>
  <r>
    <d v="2020-03-11T00:00:00"/>
    <d v="1899-12-30T16:25:00"/>
    <s v="Manhattan"/>
    <x v="0"/>
    <s v="Sedan"/>
    <n v="0"/>
  </r>
  <r>
    <d v="2020-03-11T00:00:00"/>
    <d v="1899-12-30T17:00:00"/>
    <s v="Manhattan"/>
    <x v="3"/>
    <s v="Sedan"/>
    <n v="2"/>
  </r>
  <r>
    <d v="2020-03-11T00:00:00"/>
    <d v="1899-12-30T22:20:00"/>
    <s v="Manhattan"/>
    <x v="0"/>
    <s v="Bike"/>
    <n v="1"/>
  </r>
  <r>
    <d v="2020-03-12T00:00:00"/>
    <d v="1899-12-30T13:40:00"/>
    <s v="Bronx"/>
    <x v="0"/>
    <s v="Sedan"/>
    <n v="0"/>
  </r>
  <r>
    <d v="2020-03-12T00:00:00"/>
    <d v="1899-12-30T23:56:00"/>
    <s v="Manhattan"/>
    <x v="0"/>
    <s v="Taxi"/>
    <n v="0"/>
  </r>
  <r>
    <d v="2020-03-13T00:00:00"/>
    <d v="1899-12-30T17:18:00"/>
    <s v="Manhattan"/>
    <x v="0"/>
    <s v="Taxi"/>
    <n v="0"/>
  </r>
  <r>
    <d v="2020-03-13T00:00:00"/>
    <d v="1899-12-30T18:35:00"/>
    <s v="Manhattan"/>
    <x v="6"/>
    <s v="Bike"/>
    <n v="1"/>
  </r>
  <r>
    <d v="2020-03-14T00:00:00"/>
    <d v="1899-12-30T10:40:00"/>
    <s v="Brooklyn"/>
    <x v="16"/>
    <s v="Pick-up Truck"/>
    <n v="0"/>
  </r>
  <r>
    <d v="2020-03-14T00:00:00"/>
    <d v="1899-12-30T22:17:00"/>
    <s v="Bronx"/>
    <x v="0"/>
    <s v="E-Bike"/>
    <n v="2"/>
  </r>
  <r>
    <d v="2020-03-15T00:00:00"/>
    <d v="1899-12-30T16:40:00"/>
    <s v="Queens"/>
    <x v="0"/>
    <s v="Sedan"/>
    <n v="0"/>
  </r>
  <r>
    <d v="2020-03-16T00:00:00"/>
    <d v="1899-12-30T00:44:00"/>
    <s v="Manhattan"/>
    <x v="0"/>
    <s v="Box Truck"/>
    <n v="0"/>
  </r>
  <r>
    <d v="2020-03-20T00:00:00"/>
    <d v="1899-12-30T00:00:00"/>
    <s v="Manhattan"/>
    <x v="8"/>
    <s v="Bike"/>
    <n v="1"/>
  </r>
  <r>
    <d v="2020-03-20T00:00:00"/>
    <d v="1899-12-30T08:50:00"/>
    <s v="Manhattan"/>
    <x v="0"/>
    <s v="Sedan"/>
    <n v="1"/>
  </r>
  <r>
    <d v="2020-03-21T00:00:00"/>
    <d v="1899-12-30T15:40:00"/>
    <s v="Manhattan"/>
    <x v="11"/>
    <s v="Bus"/>
    <n v="0"/>
  </r>
  <r>
    <d v="2020-03-21T00:00:00"/>
    <d v="1899-12-30T21:00:00"/>
    <s v="Bronx"/>
    <x v="0"/>
    <s v="Sedan"/>
    <n v="0"/>
  </r>
  <r>
    <d v="2020-03-22T00:00:00"/>
    <d v="1899-12-30T09:20:00"/>
    <s v="Bronx"/>
    <x v="3"/>
    <s v="Sedan"/>
    <n v="1"/>
  </r>
  <r>
    <d v="2020-03-27T00:00:00"/>
    <d v="1899-12-30T17:37:00"/>
    <s v="Manhattan"/>
    <x v="0"/>
    <s v="E-Bike"/>
    <n v="0"/>
  </r>
  <r>
    <d v="2020-03-28T00:00:00"/>
    <d v="1899-12-30T15:00:00"/>
    <s v="Brooklyn"/>
    <x v="0"/>
    <s v="Sedan"/>
    <n v="0"/>
  </r>
  <r>
    <d v="2020-03-28T00:00:00"/>
    <d v="1899-12-30T22:20:00"/>
    <s v="Manhattan"/>
    <x v="9"/>
    <s v="Taxi"/>
    <n v="0"/>
  </r>
  <r>
    <d v="2020-04-14T00:00:00"/>
    <d v="1899-12-30T20:30:00"/>
    <s v="Brooklyn"/>
    <x v="0"/>
    <s v="Bike"/>
    <n v="1"/>
  </r>
  <r>
    <d v="2020-04-16T00:00:00"/>
    <d v="1899-12-30T12:25:00"/>
    <s v="Bronx"/>
    <x v="17"/>
    <s v="E-Scooter"/>
    <n v="1"/>
  </r>
  <r>
    <d v="2020-04-30T00:00:00"/>
    <d v="1899-12-30T06:29:00"/>
    <s v="Manhattan"/>
    <x v="0"/>
    <s v="Taxi"/>
    <n v="0"/>
  </r>
  <r>
    <d v="2020-05-02T00:00:00"/>
    <d v="1899-12-30T14:47:00"/>
    <s v="Manhattan"/>
    <x v="0"/>
    <s v="Bike"/>
    <n v="1"/>
  </r>
  <r>
    <d v="2020-05-13T00:00:00"/>
    <d v="1899-12-30T21:30:00"/>
    <s v="Bronx"/>
    <x v="3"/>
    <s v="Sedan"/>
    <n v="3"/>
  </r>
  <r>
    <d v="2020-05-13T00:00:00"/>
    <d v="1899-12-30T22:38:00"/>
    <s v="Brooklyn"/>
    <x v="5"/>
    <s v="Sedan"/>
    <n v="0"/>
  </r>
  <r>
    <d v="2020-05-16T00:00:00"/>
    <d v="1899-12-30T17:00:00"/>
    <s v="Bronx"/>
    <x v="10"/>
    <s v="Bike"/>
    <n v="1"/>
  </r>
  <r>
    <d v="2020-05-18T00:00:00"/>
    <d v="1899-12-30T15:41:00"/>
    <s v="Bronx"/>
    <x v="15"/>
    <s v="Sedan"/>
    <n v="0"/>
  </r>
  <r>
    <d v="2020-05-20T00:00:00"/>
    <d v="1899-12-30T03:43:00"/>
    <s v="Brooklyn"/>
    <x v="2"/>
    <s v="Dump"/>
    <n v="0"/>
  </r>
  <r>
    <d v="2020-05-22T00:00:00"/>
    <d v="1899-12-30T23:56:00"/>
    <s v="Brooklyn"/>
    <x v="0"/>
    <s v="Sedan"/>
    <n v="1"/>
  </r>
  <r>
    <d v="2020-05-23T00:00:00"/>
    <d v="1899-12-30T17:30:00"/>
    <s v="Queens"/>
    <x v="13"/>
    <s v="Sedan"/>
    <n v="0"/>
  </r>
  <r>
    <d v="2020-05-25T00:00:00"/>
    <d v="1899-12-30T18:55:00"/>
    <s v="Bronx"/>
    <x v="3"/>
    <s v="Sedan"/>
    <n v="0"/>
  </r>
  <r>
    <d v="2020-05-31T00:00:00"/>
    <d v="1899-12-30T00:45:00"/>
    <s v="Queens"/>
    <x v="3"/>
    <s v="Sedan"/>
    <n v="0"/>
  </r>
  <r>
    <d v="2020-05-31T00:00:00"/>
    <d v="1899-12-30T02:19:00"/>
    <s v="Brooklyn"/>
    <x v="3"/>
    <s v="Sedan"/>
    <n v="2"/>
  </r>
  <r>
    <d v="2020-06-13T00:00:00"/>
    <d v="1899-12-30T21:05:00"/>
    <s v="Manhattan"/>
    <x v="10"/>
    <s v="Bike"/>
    <n v="1"/>
  </r>
  <r>
    <d v="2020-06-16T00:00:00"/>
    <d v="1899-12-30T22:15:00"/>
    <s v="Manhattan"/>
    <x v="5"/>
    <s v="Sedan"/>
    <n v="2"/>
  </r>
  <r>
    <d v="2020-06-25T00:00:00"/>
    <d v="1899-12-30T03:37:00"/>
    <s v="Manhattan"/>
    <x v="0"/>
    <s v="Bike"/>
    <n v="1"/>
  </r>
  <r>
    <d v="2020-06-25T00:00:00"/>
    <d v="1899-12-30T21:47:00"/>
    <s v="Manhattan"/>
    <x v="0"/>
    <s v="Sedan"/>
    <n v="1"/>
  </r>
  <r>
    <d v="2020-07-01T00:00:00"/>
    <d v="1899-12-30T01:35:00"/>
    <s v="Manhattan"/>
    <x v="1"/>
    <s v="Sedan"/>
    <n v="2"/>
  </r>
  <r>
    <d v="2020-07-04T00:00:00"/>
    <d v="1899-12-30T17:08:00"/>
    <s v="Bronx"/>
    <x v="0"/>
    <s v="E-Bike"/>
    <n v="1"/>
  </r>
  <r>
    <d v="2020-07-09T00:00:00"/>
    <d v="1899-12-30T13:20:00"/>
    <s v="Brooklyn"/>
    <x v="11"/>
    <s v="Sedan"/>
    <n v="2"/>
  </r>
  <r>
    <d v="2020-07-09T00:00:00"/>
    <d v="1899-12-30T22:08:00"/>
    <s v="Manhattan"/>
    <x v="0"/>
    <s v="Sedan"/>
    <n v="5"/>
  </r>
  <r>
    <d v="2020-07-11T00:00:00"/>
    <d v="1899-12-30T22:19:00"/>
    <s v="Manhattan"/>
    <x v="10"/>
    <s v="Bike"/>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19">
  <location ref="A1:B14" firstHeaderRow="1" firstDataRow="1" firstDataCol="1"/>
  <pivotFields count="10">
    <pivotField compact="0" showAll="0"/>
    <pivotField compact="0" numFmtId="16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pivotField compact="0" showAll="0"/>
    <pivotField compact="0" showAll="0"/>
    <pivotField compact="0" showAll="0"/>
    <pivotField compact="0" showAll="0"/>
    <pivotField compact="0" numFmtId="165" showAll="0"/>
    <pivotField dataField="1" compact="0" numFmtId="165" showAll="0"/>
    <pivotField axis="axisRow" compact="0"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Revenue" fld="8" baseField="0" baseItem="0" numFmtId="167"/>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068319-9CCF-427F-9241-7208F63F3690}" name="PivotTable2" cacheId="7"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location ref="A3:D11" firstHeaderRow="0" firstDataRow="1" firstDataCol="1"/>
  <pivotFields count="5">
    <pivotField compact="0" showAll="0"/>
    <pivotField axis="axisRow" compact="0" showAll="0" sortType="descending">
      <items count="8">
        <item x="5"/>
        <item x="1"/>
        <item x="4"/>
        <item x="2"/>
        <item x="6"/>
        <item x="0"/>
        <item x="3"/>
        <item t="default"/>
      </items>
      <autoSortScope>
        <pivotArea dataOnly="0" outline="0" fieldPosition="0">
          <references count="1">
            <reference field="4294967294" count="1" selected="0">
              <x v="0"/>
            </reference>
          </references>
        </pivotArea>
      </autoSortScope>
    </pivotField>
    <pivotField dataField="1" compact="0" numFmtId="3" showAll="0"/>
    <pivotField dataField="1" compact="0" numFmtId="3" showAll="0"/>
    <pivotField dataField="1" compact="0" dragToRow="0" dragToCol="0" dragToPage="0" showAll="0" defaultSubtotal="0"/>
  </pivotFields>
  <rowFields count="1">
    <field x="1"/>
  </rowFields>
  <rowItems count="8">
    <i>
      <x/>
    </i>
    <i>
      <x v="5"/>
    </i>
    <i>
      <x v="6"/>
    </i>
    <i>
      <x v="1"/>
    </i>
    <i>
      <x v="2"/>
    </i>
    <i>
      <x v="4"/>
    </i>
    <i>
      <x v="3"/>
    </i>
    <i t="grand">
      <x/>
    </i>
  </rowItems>
  <colFields count="1">
    <field x="-2"/>
  </colFields>
  <colItems count="3">
    <i>
      <x/>
    </i>
    <i i="1">
      <x v="1"/>
    </i>
    <i i="2">
      <x v="2"/>
    </i>
  </colItems>
  <dataFields count="3">
    <dataField name="Sum of Population" fld="2" baseField="0" baseItem="0" numFmtId="3"/>
    <dataField name="Sum of Area" fld="3" baseField="0" baseItem="0" numFmtId="3"/>
    <dataField name="Sum of Population Density"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60AC7-C100-45DE-B936-375296B5EDC8}" name="PivotTable11" cacheId="2"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location ref="A3:B22" firstHeaderRow="1" firstDataRow="1" firstDataCol="1"/>
  <pivotFields count="6">
    <pivotField compact="0" numFmtId="164" showAll="0"/>
    <pivotField compact="0" numFmtId="168" showAll="0"/>
    <pivotField compact="0" showAll="0"/>
    <pivotField axis="axisRow" compact="0" showAll="0" sortType="descending">
      <items count="19">
        <item x="16"/>
        <item x="15"/>
        <item x="0"/>
        <item x="6"/>
        <item x="8"/>
        <item x="11"/>
        <item x="3"/>
        <item x="14"/>
        <item x="12"/>
        <item x="4"/>
        <item x="2"/>
        <item x="10"/>
        <item x="13"/>
        <item x="1"/>
        <item x="9"/>
        <item x="5"/>
        <item x="7"/>
        <item x="17"/>
        <item t="default"/>
      </items>
      <autoSortScope>
        <pivotArea dataOnly="0" outline="0" fieldPosition="0">
          <references count="1">
            <reference field="4294967294" count="1" selected="0">
              <x v="0"/>
            </reference>
          </references>
        </pivotArea>
      </autoSortScope>
    </pivotField>
    <pivotField compact="0" showAll="0"/>
    <pivotField dataField="1" compact="0" showAll="0"/>
  </pivotFields>
  <rowFields count="1">
    <field x="3"/>
  </rowFields>
  <rowItems count="19">
    <i>
      <x v="2"/>
    </i>
    <i>
      <x v="6"/>
    </i>
    <i>
      <x v="13"/>
    </i>
    <i>
      <x v="11"/>
    </i>
    <i>
      <x v="15"/>
    </i>
    <i>
      <x v="5"/>
    </i>
    <i>
      <x v="3"/>
    </i>
    <i>
      <x v="4"/>
    </i>
    <i>
      <x v="14"/>
    </i>
    <i>
      <x v="17"/>
    </i>
    <i>
      <x v="10"/>
    </i>
    <i>
      <x v="12"/>
    </i>
    <i>
      <x v="1"/>
    </i>
    <i>
      <x v="9"/>
    </i>
    <i>
      <x v="16"/>
    </i>
    <i>
      <x v="7"/>
    </i>
    <i>
      <x/>
    </i>
    <i>
      <x v="8"/>
    </i>
    <i t="grand">
      <x/>
    </i>
  </rowItems>
  <colItems count="1">
    <i/>
  </colItems>
  <dataFields count="1">
    <dataField name="Sum of # of Persons Injured" fld="5"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8BBE5F-ECE8-4F34-99F9-EB46F8EDEF64}" name="Orders" displayName="Orders" ref="A1:I201" totalsRowShown="0" headerRowDxfId="25">
  <tableColumns count="9">
    <tableColumn id="1" xr3:uid="{253DEC1F-2114-42D1-9400-718FDA8B2D69}" name="Order #" dataDxfId="24"/>
    <tableColumn id="2" xr3:uid="{3249B105-5C02-4571-B3DB-EDA39EFB7002}" name="Order Date" dataDxfId="23"/>
    <tableColumn id="3" xr3:uid="{2F3D3C83-F599-4AD6-BAF9-20FA1181D535}" name="Country"/>
    <tableColumn id="4" xr3:uid="{F029C4F8-1E85-4C9C-A395-EC8D88AAB8D6}" name="Client ID" dataDxfId="22"/>
    <tableColumn id="5" xr3:uid="{8819422A-EA97-44E3-BDAD-5AE2CA8C94FF}" name="Product ID" dataDxfId="21"/>
    <tableColumn id="6" xr3:uid="{A4197599-9FAC-4CDD-84C4-74EF858EAC34}" name="Product Name" dataDxfId="20">
      <calculatedColumnFormula>VLOOKUP(Orders[[#This Row],[Product ID]],Products!A:B,2,0)</calculatedColumnFormula>
    </tableColumn>
    <tableColumn id="7" xr3:uid="{BD7625F2-896F-4E9E-92FC-C15CA1876863}" name="Quantity" dataDxfId="19"/>
    <tableColumn id="8" xr3:uid="{39FB4A89-48B9-4C24-8193-1D3CBAF8ECE3}" name="Unit Price" dataDxfId="18"/>
    <tableColumn id="9" xr3:uid="{12D49EA0-508E-4705-9567-F9C502883F9D}" name="Revenue" dataDxfId="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33576D-BC45-433F-92C0-1303B33DC064}" name="Products" displayName="Products" ref="A1:B15" totalsRowShown="0" headerRowDxfId="16">
  <tableColumns count="2">
    <tableColumn id="1" xr3:uid="{C474EA5F-C83B-4834-B50F-5A975D97C746}" name="Product ID" dataDxfId="15"/>
    <tableColumn id="2" xr3:uid="{BAEA2952-1E49-42E6-80BC-BA56A13A8113}" name="Product Nam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BE63AE-B112-4D33-8570-B2BEE4487560}" name="Countries" displayName="Countries" ref="A1:B15" totalsRowShown="0" headerRowDxfId="14">
  <tableColumns count="2">
    <tableColumn id="1" xr3:uid="{2FA72F14-FDA2-4370-89A0-E48FE1726282}" name="Country"/>
    <tableColumn id="2" xr3:uid="{D19A61EF-F1A2-4838-AB70-E53821484D86}" name="Orders" dataDxfId="1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557C25-6F33-4F5D-B9FB-913AECF9A28A}" name="PricePerOunce" displayName="PricePerOunce" ref="A1:G31" totalsRowShown="0" headerRowDxfId="12" dataDxfId="11">
  <tableColumns count="7">
    <tableColumn id="1" xr3:uid="{CB6B1193-531E-435A-95F3-92180CA20C25}" name="Team"/>
    <tableColumn id="2" xr3:uid="{D7A04607-F18B-4258-BD5A-E3DE6A39DC4D}" name="2013" dataDxfId="10"/>
    <tableColumn id="3" xr3:uid="{4C4C6E51-5069-4273-8A10-972DCFFB86CE}" name="2014" dataDxfId="9"/>
    <tableColumn id="4" xr3:uid="{C0B1B17B-D4E8-4197-BC82-63C519D40983}" name="2015" dataDxfId="8"/>
    <tableColumn id="5" xr3:uid="{9DD8C667-C884-4FFD-976B-EA42DA175676}" name="2016" dataDxfId="7"/>
    <tableColumn id="6" xr3:uid="{159094D7-662A-481F-828D-E033B7D87902}" name="2018" dataDxfId="6"/>
    <tableColumn id="7" xr3:uid="{159125B0-AD3F-4CB6-A91C-0460390447D1}" name="Change" dataDxfId="1">
      <calculatedColumnFormula>IF(PricePerOunce[[#This Row],[2018]]=PricePerOunce[[#This Row],[2013]],"None",IF(OR(PricePerOunce[[#This Row],[2018]]&gt;PricePerOunce[[#This Row],[2016]],PricePerOunce[[#This Row],[2018]]&gt;AVERAGE(PricePerOunce[[#This Row],[2013]:[2016]])),"Increase","Decrease"))</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455AE1B-8B90-484B-B3B2-E098B0A0400A}" name="Indicators" displayName="Indicators" ref="A1:D182" totalsRowShown="0" headerRowDxfId="5">
  <tableColumns count="4">
    <tableColumn id="1" xr3:uid="{F0E34CBA-BB15-4CCE-90F3-F4802FDF3939}" name="Country" dataDxfId="4"/>
    <tableColumn id="2" xr3:uid="{5D17D228-9A18-4BBF-9C16-B497D7A6553F}" name="Region"/>
    <tableColumn id="5" xr3:uid="{30CFD427-ECCC-45D7-AE78-484F4B8FEFC9}" name="Population" dataDxfId="3"/>
    <tableColumn id="6" xr3:uid="{5506DAA7-FE51-40FB-98E3-449FB3B50206}" name="Area"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BED2-E873-4914-9525-5880DC245935}">
  <sheetPr>
    <tabColor theme="3"/>
  </sheetPr>
  <dimension ref="A1"/>
  <sheetViews>
    <sheetView showGridLines="0" topLeftCell="A7" workbookViewId="0"/>
  </sheetViews>
  <sheetFormatPr defaultRowHeight="14.4" x14ac:dyDescent="0.3"/>
  <cols>
    <col min="1" max="1" width="2.886718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sheetPr>
  <dimension ref="A1:L201"/>
  <sheetViews>
    <sheetView topLeftCell="C1" workbookViewId="0">
      <selection activeCell="L7" sqref="L7"/>
    </sheetView>
  </sheetViews>
  <sheetFormatPr defaultRowHeight="14.4" x14ac:dyDescent="0.3"/>
  <cols>
    <col min="1" max="1" width="9.44140625" customWidth="1"/>
    <col min="2" max="2" width="14.33203125" customWidth="1"/>
    <col min="3" max="3" width="17.109375" customWidth="1"/>
    <col min="4" max="4" width="11.44140625" bestFit="1" customWidth="1"/>
    <col min="5" max="5" width="12.33203125" customWidth="1"/>
    <col min="6" max="6" width="18.5546875" customWidth="1"/>
    <col min="7" max="9" width="11.44140625" customWidth="1"/>
    <col min="11" max="11" width="17.109375" customWidth="1"/>
    <col min="12" max="12" width="11.44140625" customWidth="1"/>
  </cols>
  <sheetData>
    <row r="1" spans="1:12" x14ac:dyDescent="0.3">
      <c r="A1" s="3" t="s">
        <v>42</v>
      </c>
      <c r="B1" s="3" t="s">
        <v>16</v>
      </c>
      <c r="C1" s="3" t="s">
        <v>0</v>
      </c>
      <c r="D1" s="3" t="s">
        <v>21</v>
      </c>
      <c r="E1" s="3" t="s">
        <v>17</v>
      </c>
      <c r="F1" s="3" t="s">
        <v>18</v>
      </c>
      <c r="G1" s="3" t="s">
        <v>1</v>
      </c>
      <c r="H1" s="3" t="s">
        <v>19</v>
      </c>
      <c r="I1" s="3" t="s">
        <v>20</v>
      </c>
      <c r="K1" s="12" t="s">
        <v>0</v>
      </c>
      <c r="L1" s="13" t="s">
        <v>22</v>
      </c>
    </row>
    <row r="2" spans="1:12" x14ac:dyDescent="0.3">
      <c r="A2" s="1">
        <v>540546</v>
      </c>
      <c r="B2" s="2">
        <v>43474</v>
      </c>
      <c r="C2" t="s">
        <v>9</v>
      </c>
      <c r="D2" s="1">
        <v>12766</v>
      </c>
      <c r="E2" s="1">
        <v>22740</v>
      </c>
      <c r="F2" s="43" t="str">
        <f>VLOOKUP(Orders[[#This Row],[Product ID]],Products!A:B,2,0)</f>
        <v>Polkadot Pen</v>
      </c>
      <c r="G2" s="1">
        <v>48</v>
      </c>
      <c r="H2" s="18">
        <v>0.85</v>
      </c>
      <c r="I2" s="18">
        <v>40.799999999999997</v>
      </c>
      <c r="K2" s="41" t="s">
        <v>2</v>
      </c>
      <c r="L2" s="44">
        <f>COUNTIFS(C:C,K2,I:I,"&gt;=100")</f>
        <v>3</v>
      </c>
    </row>
    <row r="3" spans="1:12" x14ac:dyDescent="0.3">
      <c r="A3" s="1">
        <v>541115</v>
      </c>
      <c r="B3" s="2">
        <v>43478</v>
      </c>
      <c r="C3" t="s">
        <v>10</v>
      </c>
      <c r="D3" s="1">
        <v>12578</v>
      </c>
      <c r="E3" s="1">
        <v>21260</v>
      </c>
      <c r="F3" s="43" t="str">
        <f>VLOOKUP(Orders[[#This Row],[Product ID]],Products!A:B,2,0)</f>
        <v>First Aid Tin</v>
      </c>
      <c r="G3" s="1">
        <v>6</v>
      </c>
      <c r="H3" s="18">
        <v>3.25</v>
      </c>
      <c r="I3" s="18">
        <v>19.5</v>
      </c>
    </row>
    <row r="4" spans="1:12" x14ac:dyDescent="0.3">
      <c r="A4" s="1">
        <v>541115</v>
      </c>
      <c r="B4" s="2">
        <v>43478</v>
      </c>
      <c r="C4" t="s">
        <v>10</v>
      </c>
      <c r="D4" s="1">
        <v>12578</v>
      </c>
      <c r="E4" s="1">
        <v>22190</v>
      </c>
      <c r="F4" s="43" t="str">
        <f>VLOOKUP(Orders[[#This Row],[Product ID]],Products!A:B,2,0)</f>
        <v>Local Cafe Mug</v>
      </c>
      <c r="G4" s="1">
        <v>12</v>
      </c>
      <c r="H4" s="18">
        <v>2.1</v>
      </c>
      <c r="I4" s="18">
        <v>25.200000000000003</v>
      </c>
    </row>
    <row r="5" spans="1:12" x14ac:dyDescent="0.3">
      <c r="A5" s="1">
        <v>541224</v>
      </c>
      <c r="B5" s="2">
        <v>43479</v>
      </c>
      <c r="C5" t="s">
        <v>5</v>
      </c>
      <c r="D5" s="1">
        <v>12474</v>
      </c>
      <c r="E5" s="1">
        <v>21025</v>
      </c>
      <c r="F5" s="43" t="str">
        <f>VLOOKUP(Orders[[#This Row],[Product ID]],Products!A:B,2,0)</f>
        <v>Space Frog</v>
      </c>
      <c r="G5" s="1">
        <v>10</v>
      </c>
      <c r="H5" s="18">
        <v>1.25</v>
      </c>
      <c r="I5" s="18">
        <v>12.5</v>
      </c>
    </row>
    <row r="6" spans="1:12" x14ac:dyDescent="0.3">
      <c r="A6" s="1">
        <v>541269</v>
      </c>
      <c r="B6" s="2">
        <v>43482</v>
      </c>
      <c r="C6" t="s">
        <v>5</v>
      </c>
      <c r="D6" s="1">
        <v>12626</v>
      </c>
      <c r="E6" s="1">
        <v>22174</v>
      </c>
      <c r="F6" s="43" t="str">
        <f>VLOOKUP(Orders[[#This Row],[Product ID]],Products!A:B,2,0)</f>
        <v>Photo Cube</v>
      </c>
      <c r="G6" s="1">
        <v>12</v>
      </c>
      <c r="H6" s="18">
        <v>1.65</v>
      </c>
      <c r="I6" s="18">
        <v>19.799999999999997</v>
      </c>
    </row>
    <row r="7" spans="1:12" x14ac:dyDescent="0.3">
      <c r="A7" s="1">
        <v>541509</v>
      </c>
      <c r="B7" s="2">
        <v>43483</v>
      </c>
      <c r="C7" t="s">
        <v>2</v>
      </c>
      <c r="D7" s="1">
        <v>13263</v>
      </c>
      <c r="E7" s="1">
        <v>22694</v>
      </c>
      <c r="F7" s="43" t="str">
        <f>VLOOKUP(Orders[[#This Row],[Product ID]],Products!A:B,2,0)</f>
        <v xml:space="preserve">Wicker Star </v>
      </c>
      <c r="G7" s="1">
        <v>1</v>
      </c>
      <c r="H7" s="18">
        <v>2.1</v>
      </c>
      <c r="I7" s="18">
        <v>2.1</v>
      </c>
    </row>
    <row r="8" spans="1:12" x14ac:dyDescent="0.3">
      <c r="A8" s="1">
        <v>541631</v>
      </c>
      <c r="B8" s="2">
        <v>43485</v>
      </c>
      <c r="C8" t="s">
        <v>3</v>
      </c>
      <c r="D8" s="1">
        <v>12637</v>
      </c>
      <c r="E8" s="1">
        <v>22174</v>
      </c>
      <c r="F8" s="43" t="str">
        <f>VLOOKUP(Orders[[#This Row],[Product ID]],Products!A:B,2,0)</f>
        <v>Photo Cube</v>
      </c>
      <c r="G8" s="1">
        <v>12</v>
      </c>
      <c r="H8" s="18">
        <v>1.65</v>
      </c>
      <c r="I8" s="18">
        <v>19.799999999999997</v>
      </c>
    </row>
    <row r="9" spans="1:12" x14ac:dyDescent="0.3">
      <c r="A9" s="1">
        <v>541711</v>
      </c>
      <c r="B9" s="2">
        <v>43486</v>
      </c>
      <c r="C9" t="s">
        <v>4</v>
      </c>
      <c r="D9" s="1">
        <v>14646</v>
      </c>
      <c r="E9" s="1">
        <v>22653</v>
      </c>
      <c r="F9" s="43" t="str">
        <f>VLOOKUP(Orders[[#This Row],[Product ID]],Products!A:B,2,0)</f>
        <v xml:space="preserve">Button Box </v>
      </c>
      <c r="G9" s="1">
        <v>10</v>
      </c>
      <c r="H9" s="18">
        <v>1.95</v>
      </c>
      <c r="I9" s="18">
        <v>19.5</v>
      </c>
    </row>
    <row r="10" spans="1:12" x14ac:dyDescent="0.3">
      <c r="A10" s="1">
        <v>542080</v>
      </c>
      <c r="B10" s="2">
        <v>43490</v>
      </c>
      <c r="C10" t="s">
        <v>5</v>
      </c>
      <c r="D10" s="1">
        <v>13815</v>
      </c>
      <c r="E10" s="1">
        <v>20713</v>
      </c>
      <c r="F10" s="43" t="str">
        <f>VLOOKUP(Orders[[#This Row],[Product ID]],Products!A:B,2,0)</f>
        <v>Jumbo Bag Owls</v>
      </c>
      <c r="G10" s="1">
        <v>10</v>
      </c>
      <c r="H10" s="18">
        <v>1.95</v>
      </c>
      <c r="I10" s="18">
        <v>19.5</v>
      </c>
    </row>
    <row r="11" spans="1:12" x14ac:dyDescent="0.3">
      <c r="A11" s="1">
        <v>542080</v>
      </c>
      <c r="B11" s="2">
        <v>43490</v>
      </c>
      <c r="C11" t="s">
        <v>5</v>
      </c>
      <c r="D11" s="1">
        <v>13815</v>
      </c>
      <c r="E11" s="1">
        <v>22740</v>
      </c>
      <c r="F11" s="43" t="str">
        <f>VLOOKUP(Orders[[#This Row],[Product ID]],Products!A:B,2,0)</f>
        <v>Polkadot Pen</v>
      </c>
      <c r="G11" s="1">
        <v>48</v>
      </c>
      <c r="H11" s="18">
        <v>0.85</v>
      </c>
      <c r="I11" s="18">
        <v>40.799999999999997</v>
      </c>
    </row>
    <row r="12" spans="1:12" x14ac:dyDescent="0.3">
      <c r="A12" s="1">
        <v>542080</v>
      </c>
      <c r="B12" s="2">
        <v>43490</v>
      </c>
      <c r="C12" t="s">
        <v>5</v>
      </c>
      <c r="D12" s="1">
        <v>13815</v>
      </c>
      <c r="E12" s="1">
        <v>22741</v>
      </c>
      <c r="F12" s="43" t="str">
        <f>VLOOKUP(Orders[[#This Row],[Product ID]],Products!A:B,2,0)</f>
        <v>Funky Diva Pen</v>
      </c>
      <c r="G12" s="1">
        <v>48</v>
      </c>
      <c r="H12" s="18">
        <v>0.85</v>
      </c>
      <c r="I12" s="18">
        <v>40.799999999999997</v>
      </c>
    </row>
    <row r="13" spans="1:12" x14ac:dyDescent="0.3">
      <c r="A13" s="1">
        <v>542371</v>
      </c>
      <c r="B13" s="2">
        <v>43492</v>
      </c>
      <c r="C13" t="s">
        <v>5</v>
      </c>
      <c r="D13" s="1">
        <v>12468</v>
      </c>
      <c r="E13" s="1">
        <v>62018</v>
      </c>
      <c r="F13" s="43" t="str">
        <f>VLOOKUP(Orders[[#This Row],[Product ID]],Products!A:B,2,0)</f>
        <v xml:space="preserve">Sombrero </v>
      </c>
      <c r="G13" s="1">
        <v>6</v>
      </c>
      <c r="H13" s="18">
        <v>1.95</v>
      </c>
      <c r="I13" s="18">
        <v>11.7</v>
      </c>
    </row>
    <row r="14" spans="1:12" x14ac:dyDescent="0.3">
      <c r="A14" s="1">
        <v>542428</v>
      </c>
      <c r="B14" s="2">
        <v>43493</v>
      </c>
      <c r="C14" t="s">
        <v>13</v>
      </c>
      <c r="D14" s="1">
        <v>17404</v>
      </c>
      <c r="E14" s="1">
        <v>21260</v>
      </c>
      <c r="F14" s="43" t="str">
        <f>VLOOKUP(Orders[[#This Row],[Product ID]],Products!A:B,2,0)</f>
        <v>First Aid Tin</v>
      </c>
      <c r="G14" s="1">
        <v>48</v>
      </c>
      <c r="H14" s="18">
        <v>3.25</v>
      </c>
      <c r="I14" s="18">
        <v>156</v>
      </c>
    </row>
    <row r="15" spans="1:12" x14ac:dyDescent="0.3">
      <c r="A15" s="1">
        <v>542535</v>
      </c>
      <c r="B15" s="2">
        <v>43493</v>
      </c>
      <c r="C15" t="s">
        <v>3</v>
      </c>
      <c r="D15" s="1">
        <v>12735</v>
      </c>
      <c r="E15" s="1">
        <v>21888</v>
      </c>
      <c r="F15" s="43" t="str">
        <f>VLOOKUP(Orders[[#This Row],[Product ID]],Products!A:B,2,0)</f>
        <v>Bingo Set</v>
      </c>
      <c r="G15" s="1">
        <v>4</v>
      </c>
      <c r="H15" s="18">
        <v>3.75</v>
      </c>
      <c r="I15" s="18">
        <v>15</v>
      </c>
    </row>
    <row r="16" spans="1:12" x14ac:dyDescent="0.3">
      <c r="A16" s="1">
        <v>542612</v>
      </c>
      <c r="B16" s="2">
        <v>43495</v>
      </c>
      <c r="C16" t="s">
        <v>2</v>
      </c>
      <c r="D16" s="1">
        <v>17841</v>
      </c>
      <c r="E16" s="1">
        <v>20713</v>
      </c>
      <c r="F16" s="43" t="str">
        <f>VLOOKUP(Orders[[#This Row],[Product ID]],Products!A:B,2,0)</f>
        <v>Jumbo Bag Owls</v>
      </c>
      <c r="G16" s="1">
        <v>1</v>
      </c>
      <c r="H16" s="18">
        <v>1.95</v>
      </c>
      <c r="I16" s="18">
        <v>1.95</v>
      </c>
    </row>
    <row r="17" spans="1:9" x14ac:dyDescent="0.3">
      <c r="A17" s="1">
        <v>542648</v>
      </c>
      <c r="B17" s="2">
        <v>43496</v>
      </c>
      <c r="C17" t="s">
        <v>5</v>
      </c>
      <c r="D17" s="1">
        <v>12476</v>
      </c>
      <c r="E17" s="1">
        <v>21116</v>
      </c>
      <c r="F17" s="43" t="str">
        <f>VLOOKUP(Orders[[#This Row],[Product ID]],Products!A:B,2,0)</f>
        <v>Owl Doorstop</v>
      </c>
      <c r="G17" s="1">
        <v>3</v>
      </c>
      <c r="H17" s="18">
        <v>4.95</v>
      </c>
      <c r="I17" s="18">
        <v>14.850000000000001</v>
      </c>
    </row>
    <row r="18" spans="1:9" x14ac:dyDescent="0.3">
      <c r="A18" s="1">
        <v>542887</v>
      </c>
      <c r="B18" s="2">
        <v>43497</v>
      </c>
      <c r="C18" t="s">
        <v>15</v>
      </c>
      <c r="D18" s="1">
        <v>12373</v>
      </c>
      <c r="E18" s="1">
        <v>20713</v>
      </c>
      <c r="F18" s="43" t="str">
        <f>VLOOKUP(Orders[[#This Row],[Product ID]],Products!A:B,2,0)</f>
        <v>Jumbo Bag Owls</v>
      </c>
      <c r="G18" s="1">
        <v>10</v>
      </c>
      <c r="H18" s="18">
        <v>1.95</v>
      </c>
      <c r="I18" s="18">
        <v>19.5</v>
      </c>
    </row>
    <row r="19" spans="1:9" x14ac:dyDescent="0.3">
      <c r="A19" s="1">
        <v>543731</v>
      </c>
      <c r="B19" s="2">
        <v>43507</v>
      </c>
      <c r="C19" t="s">
        <v>2</v>
      </c>
      <c r="D19" s="1">
        <v>17677</v>
      </c>
      <c r="E19" s="1">
        <v>20713</v>
      </c>
      <c r="F19" s="43" t="str">
        <f>VLOOKUP(Orders[[#This Row],[Product ID]],Products!A:B,2,0)</f>
        <v>Jumbo Bag Owls</v>
      </c>
      <c r="G19" s="1">
        <v>100</v>
      </c>
      <c r="H19" s="18">
        <v>1.65</v>
      </c>
      <c r="I19" s="18">
        <v>165</v>
      </c>
    </row>
    <row r="20" spans="1:9" x14ac:dyDescent="0.3">
      <c r="A20" s="1">
        <v>543733</v>
      </c>
      <c r="B20" s="2">
        <v>43507</v>
      </c>
      <c r="C20" t="s">
        <v>11</v>
      </c>
      <c r="D20" s="1">
        <v>12395</v>
      </c>
      <c r="E20" s="1">
        <v>22740</v>
      </c>
      <c r="F20" s="43" t="str">
        <f>VLOOKUP(Orders[[#This Row],[Product ID]],Products!A:B,2,0)</f>
        <v>Polkadot Pen</v>
      </c>
      <c r="G20" s="1">
        <v>48</v>
      </c>
      <c r="H20" s="18">
        <v>0.85</v>
      </c>
      <c r="I20" s="18">
        <v>40.799999999999997</v>
      </c>
    </row>
    <row r="21" spans="1:9" x14ac:dyDescent="0.3">
      <c r="A21" s="1">
        <v>543737</v>
      </c>
      <c r="B21" s="2">
        <v>43507</v>
      </c>
      <c r="C21" t="s">
        <v>5</v>
      </c>
      <c r="D21" s="1">
        <v>12477</v>
      </c>
      <c r="E21" s="1">
        <v>21116</v>
      </c>
      <c r="F21" s="43" t="str">
        <f>VLOOKUP(Orders[[#This Row],[Product ID]],Products!A:B,2,0)</f>
        <v>Owl Doorstop</v>
      </c>
      <c r="G21" s="1">
        <v>3</v>
      </c>
      <c r="H21" s="18">
        <v>4.95</v>
      </c>
      <c r="I21" s="18">
        <v>14.850000000000001</v>
      </c>
    </row>
    <row r="22" spans="1:9" x14ac:dyDescent="0.3">
      <c r="A22" s="1">
        <v>543831</v>
      </c>
      <c r="B22" s="2">
        <v>43510</v>
      </c>
      <c r="C22" t="s">
        <v>2</v>
      </c>
      <c r="D22" s="1">
        <v>15769</v>
      </c>
      <c r="E22" s="1">
        <v>20713</v>
      </c>
      <c r="F22" s="43" t="str">
        <f>VLOOKUP(Orders[[#This Row],[Product ID]],Products!A:B,2,0)</f>
        <v>Jumbo Bag Owls</v>
      </c>
      <c r="G22" s="1">
        <v>100</v>
      </c>
      <c r="H22" s="18">
        <v>1.65</v>
      </c>
      <c r="I22" s="18">
        <v>165</v>
      </c>
    </row>
    <row r="23" spans="1:9" x14ac:dyDescent="0.3">
      <c r="A23" s="1">
        <v>544355</v>
      </c>
      <c r="B23" s="2">
        <v>43514</v>
      </c>
      <c r="C23" t="s">
        <v>3</v>
      </c>
      <c r="D23" s="1">
        <v>12714</v>
      </c>
      <c r="E23" s="1">
        <v>22741</v>
      </c>
      <c r="F23" s="43" t="str">
        <f>VLOOKUP(Orders[[#This Row],[Product ID]],Products!A:B,2,0)</f>
        <v>Funky Diva Pen</v>
      </c>
      <c r="G23" s="1">
        <v>48</v>
      </c>
      <c r="H23" s="18">
        <v>0.85</v>
      </c>
      <c r="I23" s="18">
        <v>40.799999999999997</v>
      </c>
    </row>
    <row r="24" spans="1:9" x14ac:dyDescent="0.3">
      <c r="A24" s="1">
        <v>544355</v>
      </c>
      <c r="B24" s="2">
        <v>43514</v>
      </c>
      <c r="C24" t="s">
        <v>3</v>
      </c>
      <c r="D24" s="1">
        <v>12714</v>
      </c>
      <c r="E24" s="1">
        <v>22740</v>
      </c>
      <c r="F24" s="43" t="str">
        <f>VLOOKUP(Orders[[#This Row],[Product ID]],Products!A:B,2,0)</f>
        <v>Polkadot Pen</v>
      </c>
      <c r="G24" s="1">
        <v>96</v>
      </c>
      <c r="H24" s="18">
        <v>0.85</v>
      </c>
      <c r="I24" s="18">
        <v>81.599999999999994</v>
      </c>
    </row>
    <row r="25" spans="1:9" x14ac:dyDescent="0.3">
      <c r="A25" s="1">
        <v>544399</v>
      </c>
      <c r="B25" s="2">
        <v>43514</v>
      </c>
      <c r="C25" t="s">
        <v>10</v>
      </c>
      <c r="D25" s="1">
        <v>12594</v>
      </c>
      <c r="E25" s="1">
        <v>20713</v>
      </c>
      <c r="F25" s="43" t="str">
        <f>VLOOKUP(Orders[[#This Row],[Product ID]],Products!A:B,2,0)</f>
        <v>Jumbo Bag Owls</v>
      </c>
      <c r="G25" s="1">
        <v>10</v>
      </c>
      <c r="H25" s="18">
        <v>1.95</v>
      </c>
      <c r="I25" s="18">
        <v>19.5</v>
      </c>
    </row>
    <row r="26" spans="1:9" x14ac:dyDescent="0.3">
      <c r="A26" s="1">
        <v>544480</v>
      </c>
      <c r="B26" s="2">
        <v>43517</v>
      </c>
      <c r="C26" t="s">
        <v>4</v>
      </c>
      <c r="D26" s="1">
        <v>14646</v>
      </c>
      <c r="E26" s="1">
        <v>20713</v>
      </c>
      <c r="F26" s="43" t="str">
        <f>VLOOKUP(Orders[[#This Row],[Product ID]],Products!A:B,2,0)</f>
        <v>Jumbo Bag Owls</v>
      </c>
      <c r="G26" s="1">
        <v>100</v>
      </c>
      <c r="H26" s="18">
        <v>1.65</v>
      </c>
      <c r="I26" s="18">
        <v>165</v>
      </c>
    </row>
    <row r="27" spans="1:9" x14ac:dyDescent="0.3">
      <c r="A27" s="1">
        <v>544480</v>
      </c>
      <c r="B27" s="2">
        <v>43517</v>
      </c>
      <c r="C27" t="s">
        <v>4</v>
      </c>
      <c r="D27" s="1">
        <v>14646</v>
      </c>
      <c r="E27" s="1">
        <v>22653</v>
      </c>
      <c r="F27" s="43" t="str">
        <f>VLOOKUP(Orders[[#This Row],[Product ID]],Products!A:B,2,0)</f>
        <v xml:space="preserve">Button Box </v>
      </c>
      <c r="G27" s="1">
        <v>200</v>
      </c>
      <c r="H27" s="18">
        <v>1.65</v>
      </c>
      <c r="I27" s="18">
        <v>330</v>
      </c>
    </row>
    <row r="28" spans="1:9" x14ac:dyDescent="0.3">
      <c r="A28" s="1">
        <v>544657</v>
      </c>
      <c r="B28" s="2">
        <v>43518</v>
      </c>
      <c r="C28" t="s">
        <v>2</v>
      </c>
      <c r="D28" s="1">
        <v>14895</v>
      </c>
      <c r="E28" s="1">
        <v>22174</v>
      </c>
      <c r="F28" s="43" t="str">
        <f>VLOOKUP(Orders[[#This Row],[Product ID]],Products!A:B,2,0)</f>
        <v>Photo Cube</v>
      </c>
      <c r="G28" s="1">
        <v>12</v>
      </c>
      <c r="H28" s="18">
        <v>1.65</v>
      </c>
      <c r="I28" s="18">
        <v>19.799999999999997</v>
      </c>
    </row>
    <row r="29" spans="1:9" x14ac:dyDescent="0.3">
      <c r="A29" s="1">
        <v>544672</v>
      </c>
      <c r="B29" s="2">
        <v>43518</v>
      </c>
      <c r="C29" t="s">
        <v>4</v>
      </c>
      <c r="D29" s="1">
        <v>14646</v>
      </c>
      <c r="E29" s="1">
        <v>22653</v>
      </c>
      <c r="F29" s="43" t="str">
        <f>VLOOKUP(Orders[[#This Row],[Product ID]],Products!A:B,2,0)</f>
        <v xml:space="preserve">Button Box </v>
      </c>
      <c r="G29" s="1">
        <v>20</v>
      </c>
      <c r="H29" s="18">
        <v>1.95</v>
      </c>
      <c r="I29" s="18">
        <v>39</v>
      </c>
    </row>
    <row r="30" spans="1:9" x14ac:dyDescent="0.3">
      <c r="A30" s="1">
        <v>544672</v>
      </c>
      <c r="B30" s="2">
        <v>43518</v>
      </c>
      <c r="C30" t="s">
        <v>4</v>
      </c>
      <c r="D30" s="1">
        <v>14646</v>
      </c>
      <c r="E30" s="1">
        <v>20713</v>
      </c>
      <c r="F30" s="43" t="str">
        <f>VLOOKUP(Orders[[#This Row],[Product ID]],Products!A:B,2,0)</f>
        <v>Jumbo Bag Owls</v>
      </c>
      <c r="G30" s="1">
        <v>100</v>
      </c>
      <c r="H30" s="18">
        <v>1.65</v>
      </c>
      <c r="I30" s="18">
        <v>165</v>
      </c>
    </row>
    <row r="31" spans="1:9" x14ac:dyDescent="0.3">
      <c r="A31" s="1">
        <v>544811</v>
      </c>
      <c r="B31" s="2">
        <v>43519</v>
      </c>
      <c r="C31" t="s">
        <v>5</v>
      </c>
      <c r="D31" s="1">
        <v>12471</v>
      </c>
      <c r="E31" s="1">
        <v>22741</v>
      </c>
      <c r="F31" s="43" t="str">
        <f>VLOOKUP(Orders[[#This Row],[Product ID]],Products!A:B,2,0)</f>
        <v>Funky Diva Pen</v>
      </c>
      <c r="G31" s="1">
        <v>48</v>
      </c>
      <c r="H31" s="18">
        <v>0.85</v>
      </c>
      <c r="I31" s="18">
        <v>40.799999999999997</v>
      </c>
    </row>
    <row r="32" spans="1:9" x14ac:dyDescent="0.3">
      <c r="A32" s="1">
        <v>545664</v>
      </c>
      <c r="B32" s="2">
        <v>43528</v>
      </c>
      <c r="C32" t="s">
        <v>10</v>
      </c>
      <c r="D32" s="1">
        <v>12584</v>
      </c>
      <c r="E32" s="1">
        <v>21260</v>
      </c>
      <c r="F32" s="43" t="str">
        <f>VLOOKUP(Orders[[#This Row],[Product ID]],Products!A:B,2,0)</f>
        <v>First Aid Tin</v>
      </c>
      <c r="G32" s="1">
        <v>6</v>
      </c>
      <c r="H32" s="18">
        <v>3.25</v>
      </c>
      <c r="I32" s="18">
        <v>19.5</v>
      </c>
    </row>
    <row r="33" spans="1:9" x14ac:dyDescent="0.3">
      <c r="A33" s="1">
        <v>545937</v>
      </c>
      <c r="B33" s="2">
        <v>43532</v>
      </c>
      <c r="C33" t="s">
        <v>9</v>
      </c>
      <c r="D33" s="1">
        <v>12758</v>
      </c>
      <c r="E33" s="1">
        <v>22740</v>
      </c>
      <c r="F33" s="43" t="str">
        <f>VLOOKUP(Orders[[#This Row],[Product ID]],Products!A:B,2,0)</f>
        <v>Polkadot Pen</v>
      </c>
      <c r="G33" s="1">
        <v>48</v>
      </c>
      <c r="H33" s="18">
        <v>0.85</v>
      </c>
      <c r="I33" s="18">
        <v>40.799999999999997</v>
      </c>
    </row>
    <row r="34" spans="1:9" x14ac:dyDescent="0.3">
      <c r="A34" s="1">
        <v>545988</v>
      </c>
      <c r="B34" s="2">
        <v>43532</v>
      </c>
      <c r="C34" t="s">
        <v>5</v>
      </c>
      <c r="D34" s="1">
        <v>12662</v>
      </c>
      <c r="E34" s="1">
        <v>20713</v>
      </c>
      <c r="F34" s="43" t="str">
        <f>VLOOKUP(Orders[[#This Row],[Product ID]],Products!A:B,2,0)</f>
        <v>Jumbo Bag Owls</v>
      </c>
      <c r="G34" s="1">
        <v>10</v>
      </c>
      <c r="H34" s="18">
        <v>1.95</v>
      </c>
      <c r="I34" s="18">
        <v>19.5</v>
      </c>
    </row>
    <row r="35" spans="1:9" x14ac:dyDescent="0.3">
      <c r="A35" s="1">
        <v>546780</v>
      </c>
      <c r="B35" s="2">
        <v>43541</v>
      </c>
      <c r="C35" t="s">
        <v>12</v>
      </c>
      <c r="D35" s="1">
        <v>12435</v>
      </c>
      <c r="E35" s="1">
        <v>20713</v>
      </c>
      <c r="F35" s="43" t="str">
        <f>VLOOKUP(Orders[[#This Row],[Product ID]],Products!A:B,2,0)</f>
        <v>Jumbo Bag Owls</v>
      </c>
      <c r="G35" s="1">
        <v>20</v>
      </c>
      <c r="H35" s="18">
        <v>1.95</v>
      </c>
      <c r="I35" s="18">
        <v>39</v>
      </c>
    </row>
    <row r="36" spans="1:9" x14ac:dyDescent="0.3">
      <c r="A36" s="1">
        <v>546843</v>
      </c>
      <c r="B36" s="2">
        <v>43541</v>
      </c>
      <c r="C36" t="s">
        <v>5</v>
      </c>
      <c r="D36" s="1">
        <v>12472</v>
      </c>
      <c r="E36" s="1">
        <v>20713</v>
      </c>
      <c r="F36" s="43" t="str">
        <f>VLOOKUP(Orders[[#This Row],[Product ID]],Products!A:B,2,0)</f>
        <v>Jumbo Bag Owls</v>
      </c>
      <c r="G36" s="1">
        <v>10</v>
      </c>
      <c r="H36" s="18">
        <v>1.95</v>
      </c>
      <c r="I36" s="18">
        <v>19.5</v>
      </c>
    </row>
    <row r="37" spans="1:9" x14ac:dyDescent="0.3">
      <c r="A37" s="1">
        <v>546843</v>
      </c>
      <c r="B37" s="2">
        <v>43541</v>
      </c>
      <c r="C37" t="s">
        <v>5</v>
      </c>
      <c r="D37" s="1">
        <v>12472</v>
      </c>
      <c r="E37" s="1">
        <v>22740</v>
      </c>
      <c r="F37" s="43" t="str">
        <f>VLOOKUP(Orders[[#This Row],[Product ID]],Products!A:B,2,0)</f>
        <v>Polkadot Pen</v>
      </c>
      <c r="G37" s="1">
        <v>48</v>
      </c>
      <c r="H37" s="18">
        <v>0.85</v>
      </c>
      <c r="I37" s="18">
        <v>40.799999999999997</v>
      </c>
    </row>
    <row r="38" spans="1:9" x14ac:dyDescent="0.3">
      <c r="A38" s="1">
        <v>546920</v>
      </c>
      <c r="B38" s="2">
        <v>43542</v>
      </c>
      <c r="C38" t="s">
        <v>5</v>
      </c>
      <c r="D38" s="1">
        <v>12471</v>
      </c>
      <c r="E38" s="1">
        <v>22741</v>
      </c>
      <c r="F38" s="43" t="str">
        <f>VLOOKUP(Orders[[#This Row],[Product ID]],Products!A:B,2,0)</f>
        <v>Funky Diva Pen</v>
      </c>
      <c r="G38" s="1">
        <v>48</v>
      </c>
      <c r="H38" s="18">
        <v>0.85</v>
      </c>
      <c r="I38" s="18">
        <v>40.799999999999997</v>
      </c>
    </row>
    <row r="39" spans="1:9" x14ac:dyDescent="0.3">
      <c r="A39" s="1">
        <v>547194</v>
      </c>
      <c r="B39" s="2">
        <v>43545</v>
      </c>
      <c r="C39" t="s">
        <v>3</v>
      </c>
      <c r="D39" s="1">
        <v>12637</v>
      </c>
      <c r="E39" s="1">
        <v>20713</v>
      </c>
      <c r="F39" s="43" t="str">
        <f>VLOOKUP(Orders[[#This Row],[Product ID]],Products!A:B,2,0)</f>
        <v>Jumbo Bag Owls</v>
      </c>
      <c r="G39" s="1">
        <v>2</v>
      </c>
      <c r="H39" s="18">
        <v>1.95</v>
      </c>
      <c r="I39" s="18">
        <v>3.9</v>
      </c>
    </row>
    <row r="40" spans="1:9" x14ac:dyDescent="0.3">
      <c r="A40" s="1">
        <v>547517</v>
      </c>
      <c r="B40" s="2">
        <v>43547</v>
      </c>
      <c r="C40" t="s">
        <v>11</v>
      </c>
      <c r="D40" s="1">
        <v>12395</v>
      </c>
      <c r="E40" s="1">
        <v>22740</v>
      </c>
      <c r="F40" s="43" t="str">
        <f>VLOOKUP(Orders[[#This Row],[Product ID]],Products!A:B,2,0)</f>
        <v>Polkadot Pen</v>
      </c>
      <c r="G40" s="1">
        <v>48</v>
      </c>
      <c r="H40" s="18">
        <v>0.85</v>
      </c>
      <c r="I40" s="18">
        <v>40.799999999999997</v>
      </c>
    </row>
    <row r="41" spans="1:9" x14ac:dyDescent="0.3">
      <c r="A41" s="1">
        <v>547685</v>
      </c>
      <c r="B41" s="2">
        <v>43548</v>
      </c>
      <c r="C41" t="s">
        <v>11</v>
      </c>
      <c r="D41" s="1">
        <v>12408</v>
      </c>
      <c r="E41" s="1">
        <v>20713</v>
      </c>
      <c r="F41" s="43" t="str">
        <f>VLOOKUP(Orders[[#This Row],[Product ID]],Products!A:B,2,0)</f>
        <v>Jumbo Bag Owls</v>
      </c>
      <c r="G41" s="1">
        <v>10</v>
      </c>
      <c r="H41" s="18">
        <v>1.95</v>
      </c>
      <c r="I41" s="18">
        <v>19.5</v>
      </c>
    </row>
    <row r="42" spans="1:9" x14ac:dyDescent="0.3">
      <c r="A42" s="1">
        <v>547897</v>
      </c>
      <c r="B42" s="2">
        <v>43552</v>
      </c>
      <c r="C42" t="s">
        <v>9</v>
      </c>
      <c r="D42" s="1">
        <v>12792</v>
      </c>
      <c r="E42" s="1">
        <v>21888</v>
      </c>
      <c r="F42" s="43" t="str">
        <f>VLOOKUP(Orders[[#This Row],[Product ID]],Products!A:B,2,0)</f>
        <v>Bingo Set</v>
      </c>
      <c r="G42" s="1">
        <v>4</v>
      </c>
      <c r="H42" s="18">
        <v>3.75</v>
      </c>
      <c r="I42" s="18">
        <v>15</v>
      </c>
    </row>
    <row r="43" spans="1:9" x14ac:dyDescent="0.3">
      <c r="A43" s="1">
        <v>548711</v>
      </c>
      <c r="B43" s="2">
        <v>43558</v>
      </c>
      <c r="C43" t="s">
        <v>2</v>
      </c>
      <c r="D43" s="1">
        <v>18116</v>
      </c>
      <c r="E43" s="1">
        <v>22694</v>
      </c>
      <c r="F43" s="43" t="str">
        <f>VLOOKUP(Orders[[#This Row],[Product ID]],Products!A:B,2,0)</f>
        <v xml:space="preserve">Wicker Star </v>
      </c>
      <c r="G43" s="1">
        <v>1</v>
      </c>
      <c r="H43" s="18">
        <v>2.1</v>
      </c>
      <c r="I43" s="18">
        <v>2.1</v>
      </c>
    </row>
    <row r="44" spans="1:9" x14ac:dyDescent="0.3">
      <c r="A44" s="1">
        <v>548745</v>
      </c>
      <c r="B44" s="2">
        <v>43559</v>
      </c>
      <c r="C44" t="s">
        <v>5</v>
      </c>
      <c r="D44" s="1">
        <v>12471</v>
      </c>
      <c r="E44" s="1">
        <v>22741</v>
      </c>
      <c r="F44" s="43" t="str">
        <f>VLOOKUP(Orders[[#This Row],[Product ID]],Products!A:B,2,0)</f>
        <v>Funky Diva Pen</v>
      </c>
      <c r="G44" s="1">
        <v>48</v>
      </c>
      <c r="H44" s="18">
        <v>0.85</v>
      </c>
      <c r="I44" s="18">
        <v>40.799999999999997</v>
      </c>
    </row>
    <row r="45" spans="1:9" x14ac:dyDescent="0.3">
      <c r="A45" s="1">
        <v>550188</v>
      </c>
      <c r="B45" s="2">
        <v>43569</v>
      </c>
      <c r="C45" t="s">
        <v>7</v>
      </c>
      <c r="D45" s="1">
        <v>12457</v>
      </c>
      <c r="E45" s="1">
        <v>21888</v>
      </c>
      <c r="F45" s="43" t="str">
        <f>VLOOKUP(Orders[[#This Row],[Product ID]],Products!A:B,2,0)</f>
        <v>Bingo Set</v>
      </c>
      <c r="G45" s="1">
        <v>4</v>
      </c>
      <c r="H45" s="18">
        <v>3.75</v>
      </c>
      <c r="I45" s="18">
        <v>15</v>
      </c>
    </row>
    <row r="46" spans="1:9" x14ac:dyDescent="0.3">
      <c r="A46" s="1">
        <v>550665</v>
      </c>
      <c r="B46" s="2">
        <v>43575</v>
      </c>
      <c r="C46" t="s">
        <v>5</v>
      </c>
      <c r="D46" s="1">
        <v>12530</v>
      </c>
      <c r="E46" s="1">
        <v>22740</v>
      </c>
      <c r="F46" s="43" t="str">
        <f>VLOOKUP(Orders[[#This Row],[Product ID]],Products!A:B,2,0)</f>
        <v>Polkadot Pen</v>
      </c>
      <c r="G46" s="1">
        <v>48</v>
      </c>
      <c r="H46" s="18">
        <v>0.85</v>
      </c>
      <c r="I46" s="18">
        <v>40.799999999999997</v>
      </c>
    </row>
    <row r="47" spans="1:9" x14ac:dyDescent="0.3">
      <c r="A47" s="1">
        <v>550827</v>
      </c>
      <c r="B47" s="2">
        <v>43576</v>
      </c>
      <c r="C47" t="s">
        <v>3</v>
      </c>
      <c r="D47" s="1">
        <v>12670</v>
      </c>
      <c r="E47" s="1">
        <v>22740</v>
      </c>
      <c r="F47" s="43" t="str">
        <f>VLOOKUP(Orders[[#This Row],[Product ID]],Products!A:B,2,0)</f>
        <v>Polkadot Pen</v>
      </c>
      <c r="G47" s="1">
        <v>48</v>
      </c>
      <c r="H47" s="18">
        <v>0.85</v>
      </c>
      <c r="I47" s="18">
        <v>40.799999999999997</v>
      </c>
    </row>
    <row r="48" spans="1:9" x14ac:dyDescent="0.3">
      <c r="A48" s="1">
        <v>552337</v>
      </c>
      <c r="B48" s="2">
        <v>43594</v>
      </c>
      <c r="C48" t="s">
        <v>5</v>
      </c>
      <c r="D48" s="1">
        <v>12621</v>
      </c>
      <c r="E48" s="1">
        <v>21116</v>
      </c>
      <c r="F48" s="43" t="str">
        <f>VLOOKUP(Orders[[#This Row],[Product ID]],Products!A:B,2,0)</f>
        <v>Owl Doorstop</v>
      </c>
      <c r="G48" s="1">
        <v>3</v>
      </c>
      <c r="H48" s="18">
        <v>4.95</v>
      </c>
      <c r="I48" s="18">
        <v>14.850000000000001</v>
      </c>
    </row>
    <row r="49" spans="1:9" x14ac:dyDescent="0.3">
      <c r="A49" s="1">
        <v>552978</v>
      </c>
      <c r="B49" s="2">
        <v>43597</v>
      </c>
      <c r="C49" t="s">
        <v>5</v>
      </c>
      <c r="D49" s="1">
        <v>12590</v>
      </c>
      <c r="E49" s="1">
        <v>22740</v>
      </c>
      <c r="F49" s="43" t="str">
        <f>VLOOKUP(Orders[[#This Row],[Product ID]],Products!A:B,2,0)</f>
        <v>Polkadot Pen</v>
      </c>
      <c r="G49" s="1">
        <v>48</v>
      </c>
      <c r="H49" s="18">
        <v>0.85</v>
      </c>
      <c r="I49" s="18">
        <v>40.799999999999997</v>
      </c>
    </row>
    <row r="50" spans="1:9" x14ac:dyDescent="0.3">
      <c r="A50" s="1">
        <v>553037</v>
      </c>
      <c r="B50" s="2">
        <v>43598</v>
      </c>
      <c r="C50" t="s">
        <v>5</v>
      </c>
      <c r="D50" s="1">
        <v>12471</v>
      </c>
      <c r="E50" s="1">
        <v>22741</v>
      </c>
      <c r="F50" s="43" t="str">
        <f>VLOOKUP(Orders[[#This Row],[Product ID]],Products!A:B,2,0)</f>
        <v>Funky Diva Pen</v>
      </c>
      <c r="G50" s="1">
        <v>48</v>
      </c>
      <c r="H50" s="18">
        <v>0.85</v>
      </c>
      <c r="I50" s="18">
        <v>40.799999999999997</v>
      </c>
    </row>
    <row r="51" spans="1:9" x14ac:dyDescent="0.3">
      <c r="A51" s="1">
        <v>553377</v>
      </c>
      <c r="B51" s="2">
        <v>43601</v>
      </c>
      <c r="C51" t="s">
        <v>2</v>
      </c>
      <c r="D51" s="1">
        <v>14888</v>
      </c>
      <c r="E51" s="1">
        <v>21888</v>
      </c>
      <c r="F51" s="43" t="str">
        <f>VLOOKUP(Orders[[#This Row],[Product ID]],Products!A:B,2,0)</f>
        <v>Bingo Set</v>
      </c>
      <c r="G51" s="1">
        <v>6</v>
      </c>
      <c r="H51" s="18">
        <v>3.75</v>
      </c>
      <c r="I51" s="18">
        <v>22.5</v>
      </c>
    </row>
    <row r="52" spans="1:9" x14ac:dyDescent="0.3">
      <c r="A52" s="1">
        <v>553540</v>
      </c>
      <c r="B52" s="2">
        <v>43602</v>
      </c>
      <c r="C52" t="s">
        <v>2</v>
      </c>
      <c r="D52" s="1">
        <v>17511</v>
      </c>
      <c r="E52" s="1">
        <v>21888</v>
      </c>
      <c r="F52" s="43" t="str">
        <f>VLOOKUP(Orders[[#This Row],[Product ID]],Products!A:B,2,0)</f>
        <v>Bingo Set</v>
      </c>
      <c r="G52" s="1">
        <v>4</v>
      </c>
      <c r="H52" s="18">
        <v>3.75</v>
      </c>
      <c r="I52" s="18">
        <v>15</v>
      </c>
    </row>
    <row r="53" spans="1:9" x14ac:dyDescent="0.3">
      <c r="A53" s="1">
        <v>553832</v>
      </c>
      <c r="B53" s="2">
        <v>43604</v>
      </c>
      <c r="C53" t="s">
        <v>2</v>
      </c>
      <c r="D53" s="1">
        <v>12957</v>
      </c>
      <c r="E53" s="1">
        <v>21025</v>
      </c>
      <c r="F53" s="43" t="str">
        <f>VLOOKUP(Orders[[#This Row],[Product ID]],Products!A:B,2,0)</f>
        <v>Space Frog</v>
      </c>
      <c r="G53" s="1">
        <v>10</v>
      </c>
      <c r="H53" s="18">
        <v>1.25</v>
      </c>
      <c r="I53" s="18">
        <v>12.5</v>
      </c>
    </row>
    <row r="54" spans="1:9" x14ac:dyDescent="0.3">
      <c r="A54" s="1">
        <v>554356</v>
      </c>
      <c r="B54" s="2">
        <v>43609</v>
      </c>
      <c r="C54" t="s">
        <v>3</v>
      </c>
      <c r="D54" s="1">
        <v>12670</v>
      </c>
      <c r="E54" s="1">
        <v>22740</v>
      </c>
      <c r="F54" s="43" t="str">
        <f>VLOOKUP(Orders[[#This Row],[Product ID]],Products!A:B,2,0)</f>
        <v>Polkadot Pen</v>
      </c>
      <c r="G54" s="1">
        <v>48</v>
      </c>
      <c r="H54" s="18">
        <v>0.85</v>
      </c>
      <c r="I54" s="18">
        <v>40.799999999999997</v>
      </c>
    </row>
    <row r="55" spans="1:9" x14ac:dyDescent="0.3">
      <c r="A55" s="1">
        <v>555095</v>
      </c>
      <c r="B55" s="2">
        <v>43616</v>
      </c>
      <c r="C55" t="s">
        <v>8</v>
      </c>
      <c r="D55" s="1">
        <v>12540</v>
      </c>
      <c r="E55" s="1">
        <v>21116</v>
      </c>
      <c r="F55" s="43" t="str">
        <f>VLOOKUP(Orders[[#This Row],[Product ID]],Products!A:B,2,0)</f>
        <v>Owl Doorstop</v>
      </c>
      <c r="G55" s="1">
        <v>3</v>
      </c>
      <c r="H55" s="18">
        <v>4.95</v>
      </c>
      <c r="I55" s="18">
        <v>14.850000000000001</v>
      </c>
    </row>
    <row r="56" spans="1:9" x14ac:dyDescent="0.3">
      <c r="A56" s="1">
        <v>555162</v>
      </c>
      <c r="B56" s="2">
        <v>43617</v>
      </c>
      <c r="C56" t="s">
        <v>5</v>
      </c>
      <c r="D56" s="1">
        <v>12473</v>
      </c>
      <c r="E56" s="1">
        <v>22740</v>
      </c>
      <c r="F56" s="43" t="str">
        <f>VLOOKUP(Orders[[#This Row],[Product ID]],Products!A:B,2,0)</f>
        <v>Polkadot Pen</v>
      </c>
      <c r="G56" s="1">
        <v>48</v>
      </c>
      <c r="H56" s="18">
        <v>0.85</v>
      </c>
      <c r="I56" s="18">
        <v>40.799999999999997</v>
      </c>
    </row>
    <row r="57" spans="1:9" x14ac:dyDescent="0.3">
      <c r="A57" s="1">
        <v>555162</v>
      </c>
      <c r="B57" s="2">
        <v>43617</v>
      </c>
      <c r="C57" t="s">
        <v>5</v>
      </c>
      <c r="D57" s="1">
        <v>12473</v>
      </c>
      <c r="E57" s="1">
        <v>22741</v>
      </c>
      <c r="F57" s="43" t="str">
        <f>VLOOKUP(Orders[[#This Row],[Product ID]],Products!A:B,2,0)</f>
        <v>Funky Diva Pen</v>
      </c>
      <c r="G57" s="1">
        <v>48</v>
      </c>
      <c r="H57" s="18">
        <v>0.85</v>
      </c>
      <c r="I57" s="18">
        <v>40.799999999999997</v>
      </c>
    </row>
    <row r="58" spans="1:9" x14ac:dyDescent="0.3">
      <c r="A58" s="1">
        <v>555284</v>
      </c>
      <c r="B58" s="2">
        <v>43618</v>
      </c>
      <c r="C58" t="s">
        <v>2</v>
      </c>
      <c r="D58" s="1">
        <v>14298</v>
      </c>
      <c r="E58" s="1">
        <v>62018</v>
      </c>
      <c r="F58" s="43" t="str">
        <f>VLOOKUP(Orders[[#This Row],[Product ID]],Products!A:B,2,0)</f>
        <v xml:space="preserve">Sombrero </v>
      </c>
      <c r="G58" s="1">
        <v>48</v>
      </c>
      <c r="H58" s="18">
        <v>1.25</v>
      </c>
      <c r="I58" s="18">
        <v>60</v>
      </c>
    </row>
    <row r="59" spans="1:9" x14ac:dyDescent="0.3">
      <c r="A59" s="1">
        <v>555572</v>
      </c>
      <c r="B59" s="2">
        <v>43621</v>
      </c>
      <c r="C59" t="s">
        <v>11</v>
      </c>
      <c r="D59" s="1">
        <v>12449</v>
      </c>
      <c r="E59" s="1">
        <v>21888</v>
      </c>
      <c r="F59" s="43" t="str">
        <f>VLOOKUP(Orders[[#This Row],[Product ID]],Products!A:B,2,0)</f>
        <v>Bingo Set</v>
      </c>
      <c r="G59" s="1">
        <v>4</v>
      </c>
      <c r="H59" s="18">
        <v>3.75</v>
      </c>
      <c r="I59" s="18">
        <v>15</v>
      </c>
    </row>
    <row r="60" spans="1:9" x14ac:dyDescent="0.3">
      <c r="A60" s="1">
        <v>555637</v>
      </c>
      <c r="B60" s="2">
        <v>43622</v>
      </c>
      <c r="C60" t="s">
        <v>3</v>
      </c>
      <c r="D60" s="1">
        <v>12535</v>
      </c>
      <c r="E60" s="1">
        <v>21116</v>
      </c>
      <c r="F60" s="43" t="str">
        <f>VLOOKUP(Orders[[#This Row],[Product ID]],Products!A:B,2,0)</f>
        <v>Owl Doorstop</v>
      </c>
      <c r="G60" s="1">
        <v>3</v>
      </c>
      <c r="H60" s="18">
        <v>4.95</v>
      </c>
      <c r="I60" s="18">
        <v>14.850000000000001</v>
      </c>
    </row>
    <row r="61" spans="1:9" x14ac:dyDescent="0.3">
      <c r="A61" s="1">
        <v>556258</v>
      </c>
      <c r="B61" s="2">
        <v>43625</v>
      </c>
      <c r="C61" t="s">
        <v>3</v>
      </c>
      <c r="D61" s="1">
        <v>12694</v>
      </c>
      <c r="E61" s="1">
        <v>21888</v>
      </c>
      <c r="F61" s="43" t="str">
        <f>VLOOKUP(Orders[[#This Row],[Product ID]],Products!A:B,2,0)</f>
        <v>Bingo Set</v>
      </c>
      <c r="G61" s="1">
        <v>4</v>
      </c>
      <c r="H61" s="18">
        <v>3.75</v>
      </c>
      <c r="I61" s="18">
        <v>15</v>
      </c>
    </row>
    <row r="62" spans="1:9" x14ac:dyDescent="0.3">
      <c r="A62" s="1">
        <v>557007</v>
      </c>
      <c r="B62" s="2">
        <v>43632</v>
      </c>
      <c r="C62" t="s">
        <v>8</v>
      </c>
      <c r="D62" s="1">
        <v>12484</v>
      </c>
      <c r="E62" s="1">
        <v>22197</v>
      </c>
      <c r="F62" s="43" t="str">
        <f>VLOOKUP(Orders[[#This Row],[Product ID]],Products!A:B,2,0)</f>
        <v>Popcorn Holder</v>
      </c>
      <c r="G62" s="1">
        <v>5</v>
      </c>
      <c r="H62" s="18">
        <v>0.85</v>
      </c>
      <c r="I62" s="18">
        <v>4.25</v>
      </c>
    </row>
    <row r="63" spans="1:9" x14ac:dyDescent="0.3">
      <c r="A63" s="1">
        <v>557466</v>
      </c>
      <c r="B63" s="2">
        <v>43636</v>
      </c>
      <c r="C63" t="s">
        <v>5</v>
      </c>
      <c r="D63" s="1">
        <v>13815</v>
      </c>
      <c r="E63" s="1">
        <v>22740</v>
      </c>
      <c r="F63" s="43" t="str">
        <f>VLOOKUP(Orders[[#This Row],[Product ID]],Products!A:B,2,0)</f>
        <v>Polkadot Pen</v>
      </c>
      <c r="G63" s="1">
        <v>48</v>
      </c>
      <c r="H63" s="18">
        <v>0.85</v>
      </c>
      <c r="I63" s="18">
        <v>40.799999999999997</v>
      </c>
    </row>
    <row r="64" spans="1:9" x14ac:dyDescent="0.3">
      <c r="A64" s="1">
        <v>557509</v>
      </c>
      <c r="B64" s="2">
        <v>43636</v>
      </c>
      <c r="C64" t="s">
        <v>2</v>
      </c>
      <c r="D64" s="1">
        <v>15389</v>
      </c>
      <c r="E64" s="1">
        <v>62018</v>
      </c>
      <c r="F64" s="43" t="str">
        <f>VLOOKUP(Orders[[#This Row],[Product ID]],Products!A:B,2,0)</f>
        <v xml:space="preserve">Sombrero </v>
      </c>
      <c r="G64" s="1">
        <v>400</v>
      </c>
      <c r="H64" s="18">
        <v>1.25</v>
      </c>
      <c r="I64" s="18">
        <v>500</v>
      </c>
    </row>
    <row r="65" spans="1:9" x14ac:dyDescent="0.3">
      <c r="A65" s="1">
        <v>557525</v>
      </c>
      <c r="B65" s="2">
        <v>43637</v>
      </c>
      <c r="C65" t="s">
        <v>4</v>
      </c>
      <c r="D65" s="1">
        <v>12759</v>
      </c>
      <c r="E65" s="1">
        <v>21260</v>
      </c>
      <c r="F65" s="43" t="str">
        <f>VLOOKUP(Orders[[#This Row],[Product ID]],Products!A:B,2,0)</f>
        <v>First Aid Tin</v>
      </c>
      <c r="G65" s="1">
        <v>6</v>
      </c>
      <c r="H65" s="18">
        <v>3.25</v>
      </c>
      <c r="I65" s="18">
        <v>19.5</v>
      </c>
    </row>
    <row r="66" spans="1:9" x14ac:dyDescent="0.3">
      <c r="A66" s="1">
        <v>557789</v>
      </c>
      <c r="B66" s="2">
        <v>43638</v>
      </c>
      <c r="C66" t="s">
        <v>11</v>
      </c>
      <c r="D66" s="1">
        <v>12379</v>
      </c>
      <c r="E66" s="1">
        <v>22740</v>
      </c>
      <c r="F66" s="43" t="str">
        <f>VLOOKUP(Orders[[#This Row],[Product ID]],Products!A:B,2,0)</f>
        <v>Polkadot Pen</v>
      </c>
      <c r="G66" s="1">
        <v>48</v>
      </c>
      <c r="H66" s="18">
        <v>0.85</v>
      </c>
      <c r="I66" s="18">
        <v>40.799999999999997</v>
      </c>
    </row>
    <row r="67" spans="1:9" x14ac:dyDescent="0.3">
      <c r="A67" s="1">
        <v>557885</v>
      </c>
      <c r="B67" s="2">
        <v>43639</v>
      </c>
      <c r="C67" t="s">
        <v>11</v>
      </c>
      <c r="D67" s="1">
        <v>12465</v>
      </c>
      <c r="E67" s="1">
        <v>22740</v>
      </c>
      <c r="F67" s="43" t="str">
        <f>VLOOKUP(Orders[[#This Row],[Product ID]],Products!A:B,2,0)</f>
        <v>Polkadot Pen</v>
      </c>
      <c r="G67" s="1">
        <v>48</v>
      </c>
      <c r="H67" s="18">
        <v>0.85</v>
      </c>
      <c r="I67" s="18">
        <v>40.799999999999997</v>
      </c>
    </row>
    <row r="68" spans="1:9" x14ac:dyDescent="0.3">
      <c r="A68" s="1">
        <v>558262</v>
      </c>
      <c r="B68" s="2">
        <v>43644</v>
      </c>
      <c r="C68" t="s">
        <v>4</v>
      </c>
      <c r="D68" s="1">
        <v>14646</v>
      </c>
      <c r="E68" s="1">
        <v>20713</v>
      </c>
      <c r="F68" s="43" t="str">
        <f>VLOOKUP(Orders[[#This Row],[Product ID]],Products!A:B,2,0)</f>
        <v>Jumbo Bag Owls</v>
      </c>
      <c r="G68" s="1">
        <v>200</v>
      </c>
      <c r="H68" s="18">
        <v>1.79</v>
      </c>
      <c r="I68" s="18">
        <v>358</v>
      </c>
    </row>
    <row r="69" spans="1:9" x14ac:dyDescent="0.3">
      <c r="A69" s="1">
        <v>558628</v>
      </c>
      <c r="B69" s="2">
        <v>43646</v>
      </c>
      <c r="C69" t="s">
        <v>5</v>
      </c>
      <c r="D69" s="1">
        <v>12626</v>
      </c>
      <c r="E69" s="1">
        <v>20713</v>
      </c>
      <c r="F69" s="43" t="str">
        <f>VLOOKUP(Orders[[#This Row],[Product ID]],Products!A:B,2,0)</f>
        <v>Jumbo Bag Owls</v>
      </c>
      <c r="G69" s="1">
        <v>10</v>
      </c>
      <c r="H69" s="18">
        <v>2.08</v>
      </c>
      <c r="I69" s="18">
        <v>20.8</v>
      </c>
    </row>
    <row r="70" spans="1:9" x14ac:dyDescent="0.3">
      <c r="A70" s="1">
        <v>559036</v>
      </c>
      <c r="B70" s="2">
        <v>43651</v>
      </c>
      <c r="C70" t="s">
        <v>3</v>
      </c>
      <c r="D70" s="1">
        <v>12637</v>
      </c>
      <c r="E70" s="1">
        <v>22174</v>
      </c>
      <c r="F70" s="43" t="str">
        <f>VLOOKUP(Orders[[#This Row],[Product ID]],Products!A:B,2,0)</f>
        <v>Photo Cube</v>
      </c>
      <c r="G70" s="1">
        <v>12</v>
      </c>
      <c r="H70" s="18">
        <v>1.65</v>
      </c>
      <c r="I70" s="18">
        <v>19.799999999999997</v>
      </c>
    </row>
    <row r="71" spans="1:9" x14ac:dyDescent="0.3">
      <c r="A71" s="1">
        <v>559366</v>
      </c>
      <c r="B71" s="2">
        <v>43654</v>
      </c>
      <c r="C71" t="s">
        <v>2</v>
      </c>
      <c r="D71" s="1">
        <v>13102</v>
      </c>
      <c r="E71" s="1">
        <v>22197</v>
      </c>
      <c r="F71" s="43" t="str">
        <f>VLOOKUP(Orders[[#This Row],[Product ID]],Products!A:B,2,0)</f>
        <v>Popcorn Holder</v>
      </c>
      <c r="G71" s="1">
        <v>24</v>
      </c>
      <c r="H71" s="18">
        <v>0.85</v>
      </c>
      <c r="I71" s="18">
        <v>20.399999999999999</v>
      </c>
    </row>
    <row r="72" spans="1:9" x14ac:dyDescent="0.3">
      <c r="A72" s="1">
        <v>559418</v>
      </c>
      <c r="B72" s="2">
        <v>43654</v>
      </c>
      <c r="C72" t="s">
        <v>3</v>
      </c>
      <c r="D72" s="1">
        <v>12681</v>
      </c>
      <c r="E72" s="1">
        <v>22197</v>
      </c>
      <c r="F72" s="43" t="str">
        <f>VLOOKUP(Orders[[#This Row],[Product ID]],Products!A:B,2,0)</f>
        <v>Popcorn Holder</v>
      </c>
      <c r="G72" s="1">
        <v>12</v>
      </c>
      <c r="H72" s="18">
        <v>0.85</v>
      </c>
      <c r="I72" s="18">
        <v>10.199999999999999</v>
      </c>
    </row>
    <row r="73" spans="1:9" x14ac:dyDescent="0.3">
      <c r="A73" s="1">
        <v>559550</v>
      </c>
      <c r="B73" s="2">
        <v>43656</v>
      </c>
      <c r="C73" t="s">
        <v>2</v>
      </c>
      <c r="D73" s="1">
        <v>17757</v>
      </c>
      <c r="E73" s="1">
        <v>22197</v>
      </c>
      <c r="F73" s="43" t="str">
        <f>VLOOKUP(Orders[[#This Row],[Product ID]],Products!A:B,2,0)</f>
        <v>Popcorn Holder</v>
      </c>
      <c r="G73" s="1">
        <v>10</v>
      </c>
      <c r="H73" s="18">
        <v>0.85</v>
      </c>
      <c r="I73" s="18">
        <v>8.5</v>
      </c>
    </row>
    <row r="74" spans="1:9" x14ac:dyDescent="0.3">
      <c r="A74" s="1">
        <v>559665</v>
      </c>
      <c r="B74" s="2">
        <v>43657</v>
      </c>
      <c r="C74" t="s">
        <v>8</v>
      </c>
      <c r="D74" s="1">
        <v>12556</v>
      </c>
      <c r="E74" s="1">
        <v>22197</v>
      </c>
      <c r="F74" s="43" t="str">
        <f>VLOOKUP(Orders[[#This Row],[Product ID]],Products!A:B,2,0)</f>
        <v>Popcorn Holder</v>
      </c>
      <c r="G74" s="1">
        <v>4</v>
      </c>
      <c r="H74" s="18">
        <v>0.85</v>
      </c>
      <c r="I74" s="18">
        <v>3.4</v>
      </c>
    </row>
    <row r="75" spans="1:9" x14ac:dyDescent="0.3">
      <c r="A75" s="1">
        <v>559862</v>
      </c>
      <c r="B75" s="2">
        <v>43659</v>
      </c>
      <c r="C75" t="s">
        <v>9</v>
      </c>
      <c r="D75" s="1">
        <v>12782</v>
      </c>
      <c r="E75" s="1">
        <v>22740</v>
      </c>
      <c r="F75" s="43" t="str">
        <f>VLOOKUP(Orders[[#This Row],[Product ID]],Products!A:B,2,0)</f>
        <v>Polkadot Pen</v>
      </c>
      <c r="G75" s="1">
        <v>48</v>
      </c>
      <c r="H75" s="18">
        <v>0.85</v>
      </c>
      <c r="I75" s="18">
        <v>40.799999999999997</v>
      </c>
    </row>
    <row r="76" spans="1:9" x14ac:dyDescent="0.3">
      <c r="A76" s="1">
        <v>559907</v>
      </c>
      <c r="B76" s="2">
        <v>43659</v>
      </c>
      <c r="C76" t="s">
        <v>9</v>
      </c>
      <c r="D76" s="1">
        <v>12766</v>
      </c>
      <c r="E76" s="1">
        <v>22740</v>
      </c>
      <c r="F76" s="43" t="str">
        <f>VLOOKUP(Orders[[#This Row],[Product ID]],Products!A:B,2,0)</f>
        <v>Polkadot Pen</v>
      </c>
      <c r="G76" s="1">
        <v>96</v>
      </c>
      <c r="H76" s="18">
        <v>0.85</v>
      </c>
      <c r="I76" s="18">
        <v>81.599999999999994</v>
      </c>
    </row>
    <row r="77" spans="1:9" x14ac:dyDescent="0.3">
      <c r="A77" s="1">
        <v>560211</v>
      </c>
      <c r="B77" s="2">
        <v>43661</v>
      </c>
      <c r="C77" t="s">
        <v>5</v>
      </c>
      <c r="D77" s="1">
        <v>12621</v>
      </c>
      <c r="E77" s="1">
        <v>20713</v>
      </c>
      <c r="F77" s="43" t="str">
        <f>VLOOKUP(Orders[[#This Row],[Product ID]],Products!A:B,2,0)</f>
        <v>Jumbo Bag Owls</v>
      </c>
      <c r="G77" s="1">
        <v>10</v>
      </c>
      <c r="H77" s="18">
        <v>2.08</v>
      </c>
      <c r="I77" s="18">
        <v>20.8</v>
      </c>
    </row>
    <row r="78" spans="1:9" x14ac:dyDescent="0.3">
      <c r="A78" s="1">
        <v>560590</v>
      </c>
      <c r="B78" s="2">
        <v>43665</v>
      </c>
      <c r="C78" t="s">
        <v>5</v>
      </c>
      <c r="D78" s="1">
        <v>12560</v>
      </c>
      <c r="E78" s="1">
        <v>22740</v>
      </c>
      <c r="F78" s="43" t="str">
        <f>VLOOKUP(Orders[[#This Row],[Product ID]],Products!A:B,2,0)</f>
        <v>Polkadot Pen</v>
      </c>
      <c r="G78" s="1">
        <v>48</v>
      </c>
      <c r="H78" s="18">
        <v>0.85</v>
      </c>
      <c r="I78" s="18">
        <v>40.799999999999997</v>
      </c>
    </row>
    <row r="79" spans="1:9" x14ac:dyDescent="0.3">
      <c r="A79" s="1">
        <v>560694</v>
      </c>
      <c r="B79" s="2">
        <v>43666</v>
      </c>
      <c r="C79" t="s">
        <v>9</v>
      </c>
      <c r="D79" s="1">
        <v>12757</v>
      </c>
      <c r="E79" s="1">
        <v>20713</v>
      </c>
      <c r="F79" s="43" t="str">
        <f>VLOOKUP(Orders[[#This Row],[Product ID]],Products!A:B,2,0)</f>
        <v>Jumbo Bag Owls</v>
      </c>
      <c r="G79" s="1">
        <v>10</v>
      </c>
      <c r="H79" s="18">
        <v>2.08</v>
      </c>
      <c r="I79" s="18">
        <v>20.8</v>
      </c>
    </row>
    <row r="80" spans="1:9" x14ac:dyDescent="0.3">
      <c r="A80" s="1">
        <v>560901</v>
      </c>
      <c r="B80" s="2">
        <v>43667</v>
      </c>
      <c r="C80" t="s">
        <v>5</v>
      </c>
      <c r="D80" s="1">
        <v>12476</v>
      </c>
      <c r="E80" s="1">
        <v>21116</v>
      </c>
      <c r="F80" s="43" t="str">
        <f>VLOOKUP(Orders[[#This Row],[Product ID]],Products!A:B,2,0)</f>
        <v>Owl Doorstop</v>
      </c>
      <c r="G80" s="1">
        <v>3</v>
      </c>
      <c r="H80" s="18">
        <v>4.95</v>
      </c>
      <c r="I80" s="18">
        <v>14.850000000000001</v>
      </c>
    </row>
    <row r="81" spans="1:9" x14ac:dyDescent="0.3">
      <c r="A81" s="1">
        <v>561066</v>
      </c>
      <c r="B81" s="2">
        <v>43670</v>
      </c>
      <c r="C81" t="s">
        <v>2</v>
      </c>
      <c r="D81" s="1">
        <v>16710</v>
      </c>
      <c r="E81" s="1">
        <v>22197</v>
      </c>
      <c r="F81" s="43" t="str">
        <f>VLOOKUP(Orders[[#This Row],[Product ID]],Products!A:B,2,0)</f>
        <v>Popcorn Holder</v>
      </c>
      <c r="G81" s="1">
        <v>12</v>
      </c>
      <c r="H81" s="18">
        <v>0.85</v>
      </c>
      <c r="I81" s="18">
        <v>10.199999999999999</v>
      </c>
    </row>
    <row r="82" spans="1:9" x14ac:dyDescent="0.3">
      <c r="A82" s="1">
        <v>561093</v>
      </c>
      <c r="B82" s="2">
        <v>43671</v>
      </c>
      <c r="C82" t="s">
        <v>8</v>
      </c>
      <c r="D82" s="1">
        <v>12540</v>
      </c>
      <c r="E82" s="1">
        <v>21116</v>
      </c>
      <c r="F82" s="43" t="str">
        <f>VLOOKUP(Orders[[#This Row],[Product ID]],Products!A:B,2,0)</f>
        <v>Owl Doorstop</v>
      </c>
      <c r="G82" s="1">
        <v>6</v>
      </c>
      <c r="H82" s="18">
        <v>4.95</v>
      </c>
      <c r="I82" s="18">
        <v>29.700000000000003</v>
      </c>
    </row>
    <row r="83" spans="1:9" x14ac:dyDescent="0.3">
      <c r="A83" s="1">
        <v>561093</v>
      </c>
      <c r="B83" s="2">
        <v>43671</v>
      </c>
      <c r="C83" t="s">
        <v>8</v>
      </c>
      <c r="D83" s="1">
        <v>12540</v>
      </c>
      <c r="E83" s="1">
        <v>22740</v>
      </c>
      <c r="F83" s="43" t="str">
        <f>VLOOKUP(Orders[[#This Row],[Product ID]],Products!A:B,2,0)</f>
        <v>Polkadot Pen</v>
      </c>
      <c r="G83" s="1">
        <v>48</v>
      </c>
      <c r="H83" s="18">
        <v>0.85</v>
      </c>
      <c r="I83" s="18">
        <v>40.799999999999997</v>
      </c>
    </row>
    <row r="84" spans="1:9" x14ac:dyDescent="0.3">
      <c r="A84" s="1">
        <v>561902</v>
      </c>
      <c r="B84" s="2">
        <v>43677</v>
      </c>
      <c r="C84" t="s">
        <v>13</v>
      </c>
      <c r="D84" s="1">
        <v>17404</v>
      </c>
      <c r="E84" s="1">
        <v>21260</v>
      </c>
      <c r="F84" s="43" t="str">
        <f>VLOOKUP(Orders[[#This Row],[Product ID]],Products!A:B,2,0)</f>
        <v>First Aid Tin</v>
      </c>
      <c r="G84" s="1">
        <v>48</v>
      </c>
      <c r="H84" s="18">
        <v>3.25</v>
      </c>
      <c r="I84" s="18">
        <v>156</v>
      </c>
    </row>
    <row r="85" spans="1:9" x14ac:dyDescent="0.3">
      <c r="A85" s="1">
        <v>562605</v>
      </c>
      <c r="B85" s="2">
        <v>43685</v>
      </c>
      <c r="C85" t="s">
        <v>5</v>
      </c>
      <c r="D85" s="1">
        <v>12530</v>
      </c>
      <c r="E85" s="1">
        <v>20713</v>
      </c>
      <c r="F85" s="43" t="str">
        <f>VLOOKUP(Orders[[#This Row],[Product ID]],Products!A:B,2,0)</f>
        <v>Jumbo Bag Owls</v>
      </c>
      <c r="G85" s="1">
        <v>10</v>
      </c>
      <c r="H85" s="18">
        <v>2.08</v>
      </c>
      <c r="I85" s="18">
        <v>20.8</v>
      </c>
    </row>
    <row r="86" spans="1:9" x14ac:dyDescent="0.3">
      <c r="A86" s="1">
        <v>562789</v>
      </c>
      <c r="B86" s="2">
        <v>43686</v>
      </c>
      <c r="C86" t="s">
        <v>4</v>
      </c>
      <c r="D86" s="1">
        <v>14646</v>
      </c>
      <c r="E86" s="1">
        <v>20713</v>
      </c>
      <c r="F86" s="43" t="str">
        <f>VLOOKUP(Orders[[#This Row],[Product ID]],Products!A:B,2,0)</f>
        <v>Jumbo Bag Owls</v>
      </c>
      <c r="G86" s="1">
        <v>100</v>
      </c>
      <c r="H86" s="18">
        <v>1.79</v>
      </c>
      <c r="I86" s="18">
        <v>179</v>
      </c>
    </row>
    <row r="87" spans="1:9" x14ac:dyDescent="0.3">
      <c r="A87" s="1">
        <v>563749</v>
      </c>
      <c r="B87" s="2">
        <v>43696</v>
      </c>
      <c r="C87" t="s">
        <v>15</v>
      </c>
      <c r="D87" s="1">
        <v>12360</v>
      </c>
      <c r="E87" s="1">
        <v>20713</v>
      </c>
      <c r="F87" s="43" t="str">
        <f>VLOOKUP(Orders[[#This Row],[Product ID]],Products!A:B,2,0)</f>
        <v>Jumbo Bag Owls</v>
      </c>
      <c r="G87" s="1">
        <v>10</v>
      </c>
      <c r="H87" s="18">
        <v>2.08</v>
      </c>
      <c r="I87" s="18">
        <v>20.8</v>
      </c>
    </row>
    <row r="88" spans="1:9" x14ac:dyDescent="0.3">
      <c r="A88" s="1">
        <v>563756</v>
      </c>
      <c r="B88" s="2">
        <v>43696</v>
      </c>
      <c r="C88" t="s">
        <v>7</v>
      </c>
      <c r="D88" s="1">
        <v>12418</v>
      </c>
      <c r="E88" s="1">
        <v>21888</v>
      </c>
      <c r="F88" s="43" t="str">
        <f>VLOOKUP(Orders[[#This Row],[Product ID]],Products!A:B,2,0)</f>
        <v>Bingo Set</v>
      </c>
      <c r="G88" s="1">
        <v>4</v>
      </c>
      <c r="H88" s="18">
        <v>3.75</v>
      </c>
      <c r="I88" s="18">
        <v>15</v>
      </c>
    </row>
    <row r="89" spans="1:9" x14ac:dyDescent="0.3">
      <c r="A89" s="1">
        <v>563808</v>
      </c>
      <c r="B89" s="2">
        <v>43696</v>
      </c>
      <c r="C89" t="s">
        <v>5</v>
      </c>
      <c r="D89" s="1">
        <v>12626</v>
      </c>
      <c r="E89" s="1">
        <v>20713</v>
      </c>
      <c r="F89" s="43" t="str">
        <f>VLOOKUP(Orders[[#This Row],[Product ID]],Products!A:B,2,0)</f>
        <v>Jumbo Bag Owls</v>
      </c>
      <c r="G89" s="1">
        <v>20</v>
      </c>
      <c r="H89" s="18">
        <v>2.08</v>
      </c>
      <c r="I89" s="18">
        <v>41.6</v>
      </c>
    </row>
    <row r="90" spans="1:9" x14ac:dyDescent="0.3">
      <c r="A90" s="1">
        <v>563950</v>
      </c>
      <c r="B90" s="2">
        <v>43699</v>
      </c>
      <c r="C90" t="s">
        <v>5</v>
      </c>
      <c r="D90" s="1">
        <v>12471</v>
      </c>
      <c r="E90" s="1">
        <v>22741</v>
      </c>
      <c r="F90" s="43" t="str">
        <f>VLOOKUP(Orders[[#This Row],[Product ID]],Products!A:B,2,0)</f>
        <v>Funky Diva Pen</v>
      </c>
      <c r="G90" s="1">
        <v>96</v>
      </c>
      <c r="H90" s="18">
        <v>0.85</v>
      </c>
      <c r="I90" s="18">
        <v>81.599999999999994</v>
      </c>
    </row>
    <row r="91" spans="1:9" x14ac:dyDescent="0.3">
      <c r="A91" s="1">
        <v>564140</v>
      </c>
      <c r="B91" s="2">
        <v>43700</v>
      </c>
      <c r="C91" t="s">
        <v>5</v>
      </c>
      <c r="D91" s="1">
        <v>12621</v>
      </c>
      <c r="E91" s="1">
        <v>21116</v>
      </c>
      <c r="F91" s="43" t="str">
        <f>VLOOKUP(Orders[[#This Row],[Product ID]],Products!A:B,2,0)</f>
        <v>Owl Doorstop</v>
      </c>
      <c r="G91" s="1">
        <v>3</v>
      </c>
      <c r="H91" s="18">
        <v>4.95</v>
      </c>
      <c r="I91" s="18">
        <v>14.850000000000001</v>
      </c>
    </row>
    <row r="92" spans="1:9" x14ac:dyDescent="0.3">
      <c r="A92" s="1">
        <v>564328</v>
      </c>
      <c r="B92" s="2">
        <v>43701</v>
      </c>
      <c r="C92" t="s">
        <v>5</v>
      </c>
      <c r="D92" s="1">
        <v>12662</v>
      </c>
      <c r="E92" s="1">
        <v>20713</v>
      </c>
      <c r="F92" s="43" t="str">
        <f>VLOOKUP(Orders[[#This Row],[Product ID]],Products!A:B,2,0)</f>
        <v>Jumbo Bag Owls</v>
      </c>
      <c r="G92" s="1">
        <v>10</v>
      </c>
      <c r="H92" s="18">
        <v>2.08</v>
      </c>
      <c r="I92" s="18">
        <v>20.8</v>
      </c>
    </row>
    <row r="93" spans="1:9" x14ac:dyDescent="0.3">
      <c r="A93" s="1">
        <v>564360</v>
      </c>
      <c r="B93" s="2">
        <v>43701</v>
      </c>
      <c r="C93" t="s">
        <v>5</v>
      </c>
      <c r="D93" s="1">
        <v>12471</v>
      </c>
      <c r="E93" s="1">
        <v>22741</v>
      </c>
      <c r="F93" s="43" t="str">
        <f>VLOOKUP(Orders[[#This Row],[Product ID]],Products!A:B,2,0)</f>
        <v>Funky Diva Pen</v>
      </c>
      <c r="G93" s="1">
        <v>96</v>
      </c>
      <c r="H93" s="18">
        <v>0.85</v>
      </c>
      <c r="I93" s="18">
        <v>81.599999999999994</v>
      </c>
    </row>
    <row r="94" spans="1:9" x14ac:dyDescent="0.3">
      <c r="A94" s="1">
        <v>564438</v>
      </c>
      <c r="B94" s="2">
        <v>43702</v>
      </c>
      <c r="C94" t="s">
        <v>2</v>
      </c>
      <c r="D94" s="1">
        <v>16628</v>
      </c>
      <c r="E94" s="1">
        <v>20713</v>
      </c>
      <c r="F94" s="43" t="str">
        <f>VLOOKUP(Orders[[#This Row],[Product ID]],Products!A:B,2,0)</f>
        <v>Jumbo Bag Owls</v>
      </c>
      <c r="G94" s="1">
        <v>20</v>
      </c>
      <c r="H94" s="18">
        <v>2.08</v>
      </c>
      <c r="I94" s="18">
        <v>41.6</v>
      </c>
    </row>
    <row r="95" spans="1:9" x14ac:dyDescent="0.3">
      <c r="A95" s="1">
        <v>564479</v>
      </c>
      <c r="B95" s="2">
        <v>43702</v>
      </c>
      <c r="C95" t="s">
        <v>3</v>
      </c>
      <c r="D95" s="1">
        <v>12682</v>
      </c>
      <c r="E95" s="1">
        <v>22197</v>
      </c>
      <c r="F95" s="43" t="str">
        <f>VLOOKUP(Orders[[#This Row],[Product ID]],Products!A:B,2,0)</f>
        <v>Popcorn Holder</v>
      </c>
      <c r="G95" s="1">
        <v>12</v>
      </c>
      <c r="H95" s="18">
        <v>0.85</v>
      </c>
      <c r="I95" s="18">
        <v>10.199999999999999</v>
      </c>
    </row>
    <row r="96" spans="1:9" x14ac:dyDescent="0.3">
      <c r="A96" s="1">
        <v>564539</v>
      </c>
      <c r="B96" s="2">
        <v>43702</v>
      </c>
      <c r="C96" t="s">
        <v>13</v>
      </c>
      <c r="D96" s="1">
        <v>12715</v>
      </c>
      <c r="E96" s="1">
        <v>20713</v>
      </c>
      <c r="F96" s="43" t="str">
        <f>VLOOKUP(Orders[[#This Row],[Product ID]],Products!A:B,2,0)</f>
        <v>Jumbo Bag Owls</v>
      </c>
      <c r="G96" s="1">
        <v>10</v>
      </c>
      <c r="H96" s="18">
        <v>2.08</v>
      </c>
      <c r="I96" s="18">
        <v>20.8</v>
      </c>
    </row>
    <row r="97" spans="1:9" x14ac:dyDescent="0.3">
      <c r="A97" s="1">
        <v>564734</v>
      </c>
      <c r="B97" s="2">
        <v>43705</v>
      </c>
      <c r="C97" t="s">
        <v>8</v>
      </c>
      <c r="D97" s="1">
        <v>12484</v>
      </c>
      <c r="E97" s="1">
        <v>22197</v>
      </c>
      <c r="F97" s="43" t="str">
        <f>VLOOKUP(Orders[[#This Row],[Product ID]],Products!A:B,2,0)</f>
        <v>Popcorn Holder</v>
      </c>
      <c r="G97" s="1">
        <v>18</v>
      </c>
      <c r="H97" s="18">
        <v>0.85</v>
      </c>
      <c r="I97" s="18">
        <v>15.299999999999999</v>
      </c>
    </row>
    <row r="98" spans="1:9" x14ac:dyDescent="0.3">
      <c r="A98" s="1">
        <v>564965</v>
      </c>
      <c r="B98" s="2">
        <v>43708</v>
      </c>
      <c r="C98" t="s">
        <v>2</v>
      </c>
      <c r="D98" s="1">
        <v>17677</v>
      </c>
      <c r="E98" s="1">
        <v>22197</v>
      </c>
      <c r="F98" s="43" t="str">
        <f>VLOOKUP(Orders[[#This Row],[Product ID]],Products!A:B,2,0)</f>
        <v>Popcorn Holder</v>
      </c>
      <c r="G98" s="1">
        <v>12</v>
      </c>
      <c r="H98" s="18">
        <v>0.85</v>
      </c>
      <c r="I98" s="18">
        <v>10.199999999999999</v>
      </c>
    </row>
    <row r="99" spans="1:9" x14ac:dyDescent="0.3">
      <c r="A99" s="1">
        <v>565333</v>
      </c>
      <c r="B99" s="2">
        <v>43710</v>
      </c>
      <c r="C99" t="s">
        <v>14</v>
      </c>
      <c r="D99" s="1">
        <v>12375</v>
      </c>
      <c r="E99" s="1">
        <v>20713</v>
      </c>
      <c r="F99" s="43" t="str">
        <f>VLOOKUP(Orders[[#This Row],[Product ID]],Products!A:B,2,0)</f>
        <v>Jumbo Bag Owls</v>
      </c>
      <c r="G99" s="1">
        <v>10</v>
      </c>
      <c r="H99" s="18">
        <v>2.08</v>
      </c>
      <c r="I99" s="18">
        <v>20.8</v>
      </c>
    </row>
    <row r="100" spans="1:9" x14ac:dyDescent="0.3">
      <c r="A100" s="1">
        <v>565386</v>
      </c>
      <c r="B100" s="2">
        <v>43710</v>
      </c>
      <c r="C100" t="s">
        <v>2</v>
      </c>
      <c r="D100" s="1">
        <v>17997</v>
      </c>
      <c r="E100" s="1">
        <v>22174</v>
      </c>
      <c r="F100" s="43" t="str">
        <f>VLOOKUP(Orders[[#This Row],[Product ID]],Products!A:B,2,0)</f>
        <v>Photo Cube</v>
      </c>
      <c r="G100" s="1">
        <v>6</v>
      </c>
      <c r="H100" s="18">
        <v>1.65</v>
      </c>
      <c r="I100" s="18">
        <v>9.8999999999999986</v>
      </c>
    </row>
    <row r="101" spans="1:9" x14ac:dyDescent="0.3">
      <c r="A101" s="1">
        <v>565416</v>
      </c>
      <c r="B101" s="2">
        <v>43712</v>
      </c>
      <c r="C101" t="s">
        <v>5</v>
      </c>
      <c r="D101" s="1">
        <v>12710</v>
      </c>
      <c r="E101" s="1">
        <v>22197</v>
      </c>
      <c r="F101" s="43" t="str">
        <f>VLOOKUP(Orders[[#This Row],[Product ID]],Products!A:B,2,0)</f>
        <v>Popcorn Holder</v>
      </c>
      <c r="G101" s="1">
        <v>12</v>
      </c>
      <c r="H101" s="18">
        <v>0.85</v>
      </c>
      <c r="I101" s="18">
        <v>10.199999999999999</v>
      </c>
    </row>
    <row r="102" spans="1:9" x14ac:dyDescent="0.3">
      <c r="A102" s="1">
        <v>565430</v>
      </c>
      <c r="B102" s="2">
        <v>43712</v>
      </c>
      <c r="C102" t="s">
        <v>5</v>
      </c>
      <c r="D102" s="1">
        <v>14335</v>
      </c>
      <c r="E102" s="1">
        <v>22174</v>
      </c>
      <c r="F102" s="43" t="str">
        <f>VLOOKUP(Orders[[#This Row],[Product ID]],Products!A:B,2,0)</f>
        <v>Photo Cube</v>
      </c>
      <c r="G102" s="1">
        <v>12</v>
      </c>
      <c r="H102" s="18">
        <v>1.65</v>
      </c>
      <c r="I102" s="18">
        <v>19.799999999999997</v>
      </c>
    </row>
    <row r="103" spans="1:9" x14ac:dyDescent="0.3">
      <c r="A103" s="1">
        <v>565519</v>
      </c>
      <c r="B103" s="2">
        <v>43713</v>
      </c>
      <c r="C103" t="s">
        <v>8</v>
      </c>
      <c r="D103" s="1">
        <v>12502</v>
      </c>
      <c r="E103" s="1">
        <v>22741</v>
      </c>
      <c r="F103" s="43" t="str">
        <f>VLOOKUP(Orders[[#This Row],[Product ID]],Products!A:B,2,0)</f>
        <v>Funky Diva Pen</v>
      </c>
      <c r="G103" s="1">
        <v>48</v>
      </c>
      <c r="H103" s="18">
        <v>0.85</v>
      </c>
      <c r="I103" s="18">
        <v>40.799999999999997</v>
      </c>
    </row>
    <row r="104" spans="1:9" x14ac:dyDescent="0.3">
      <c r="A104" s="1">
        <v>565765</v>
      </c>
      <c r="B104" s="2">
        <v>43714</v>
      </c>
      <c r="C104" t="s">
        <v>5</v>
      </c>
      <c r="D104" s="1">
        <v>12526</v>
      </c>
      <c r="E104" s="1">
        <v>20713</v>
      </c>
      <c r="F104" s="43" t="str">
        <f>VLOOKUP(Orders[[#This Row],[Product ID]],Products!A:B,2,0)</f>
        <v>Jumbo Bag Owls</v>
      </c>
      <c r="G104" s="1">
        <v>10</v>
      </c>
      <c r="H104" s="18">
        <v>2.08</v>
      </c>
      <c r="I104" s="18">
        <v>20.8</v>
      </c>
    </row>
    <row r="105" spans="1:9" x14ac:dyDescent="0.3">
      <c r="A105" s="1">
        <v>565854</v>
      </c>
      <c r="B105" s="2">
        <v>43715</v>
      </c>
      <c r="C105" t="s">
        <v>3</v>
      </c>
      <c r="D105" s="1">
        <v>12490</v>
      </c>
      <c r="E105" s="1">
        <v>22197</v>
      </c>
      <c r="F105" s="43" t="str">
        <f>VLOOKUP(Orders[[#This Row],[Product ID]],Products!A:B,2,0)</f>
        <v>Popcorn Holder</v>
      </c>
      <c r="G105" s="1">
        <v>36</v>
      </c>
      <c r="H105" s="18">
        <v>0.85</v>
      </c>
      <c r="I105" s="18">
        <v>30.599999999999998</v>
      </c>
    </row>
    <row r="106" spans="1:9" x14ac:dyDescent="0.3">
      <c r="A106" s="1">
        <v>565865</v>
      </c>
      <c r="B106" s="2">
        <v>43715</v>
      </c>
      <c r="C106" t="s">
        <v>3</v>
      </c>
      <c r="D106" s="1">
        <v>12637</v>
      </c>
      <c r="E106" s="1">
        <v>22174</v>
      </c>
      <c r="F106" s="43" t="str">
        <f>VLOOKUP(Orders[[#This Row],[Product ID]],Products!A:B,2,0)</f>
        <v>Photo Cube</v>
      </c>
      <c r="G106" s="1">
        <v>12</v>
      </c>
      <c r="H106" s="18">
        <v>1.65</v>
      </c>
      <c r="I106" s="18">
        <v>19.799999999999997</v>
      </c>
    </row>
    <row r="107" spans="1:9" x14ac:dyDescent="0.3">
      <c r="A107" s="1">
        <v>565930</v>
      </c>
      <c r="B107" s="2">
        <v>43716</v>
      </c>
      <c r="C107" t="s">
        <v>3</v>
      </c>
      <c r="D107" s="1">
        <v>12685</v>
      </c>
      <c r="E107" s="1">
        <v>22174</v>
      </c>
      <c r="F107" s="43" t="str">
        <f>VLOOKUP(Orders[[#This Row],[Product ID]],Products!A:B,2,0)</f>
        <v>Photo Cube</v>
      </c>
      <c r="G107" s="1">
        <v>12</v>
      </c>
      <c r="H107" s="18">
        <v>1.65</v>
      </c>
      <c r="I107" s="18">
        <v>19.799999999999997</v>
      </c>
    </row>
    <row r="108" spans="1:9" x14ac:dyDescent="0.3">
      <c r="A108" s="1">
        <v>565967</v>
      </c>
      <c r="B108" s="2">
        <v>43716</v>
      </c>
      <c r="C108" t="s">
        <v>4</v>
      </c>
      <c r="D108" s="1">
        <v>14646</v>
      </c>
      <c r="E108" s="1">
        <v>20713</v>
      </c>
      <c r="F108" s="43" t="str">
        <f>VLOOKUP(Orders[[#This Row],[Product ID]],Products!A:B,2,0)</f>
        <v>Jumbo Bag Owls</v>
      </c>
      <c r="G108" s="1">
        <v>10</v>
      </c>
      <c r="H108" s="18">
        <v>2.08</v>
      </c>
      <c r="I108" s="18">
        <v>20.8</v>
      </c>
    </row>
    <row r="109" spans="1:9" x14ac:dyDescent="0.3">
      <c r="A109" s="1">
        <v>565967</v>
      </c>
      <c r="B109" s="2">
        <v>43716</v>
      </c>
      <c r="C109" t="s">
        <v>4</v>
      </c>
      <c r="D109" s="1">
        <v>14646</v>
      </c>
      <c r="E109" s="1">
        <v>22653</v>
      </c>
      <c r="F109" s="43" t="str">
        <f>VLOOKUP(Orders[[#This Row],[Product ID]],Products!A:B,2,0)</f>
        <v xml:space="preserve">Button Box </v>
      </c>
      <c r="G109" s="1">
        <v>20</v>
      </c>
      <c r="H109" s="18">
        <v>1.95</v>
      </c>
      <c r="I109" s="18">
        <v>39</v>
      </c>
    </row>
    <row r="110" spans="1:9" x14ac:dyDescent="0.3">
      <c r="A110" s="1">
        <v>566076</v>
      </c>
      <c r="B110" s="2">
        <v>43717</v>
      </c>
      <c r="C110" t="s">
        <v>11</v>
      </c>
      <c r="D110" s="1">
        <v>12449</v>
      </c>
      <c r="E110" s="1">
        <v>21888</v>
      </c>
      <c r="F110" s="43" t="str">
        <f>VLOOKUP(Orders[[#This Row],[Product ID]],Products!A:B,2,0)</f>
        <v>Bingo Set</v>
      </c>
      <c r="G110" s="1">
        <v>4</v>
      </c>
      <c r="H110" s="18">
        <v>3.75</v>
      </c>
      <c r="I110" s="18">
        <v>15</v>
      </c>
    </row>
    <row r="111" spans="1:9" x14ac:dyDescent="0.3">
      <c r="A111" s="1">
        <v>566163</v>
      </c>
      <c r="B111" s="2">
        <v>43717</v>
      </c>
      <c r="C111" t="s">
        <v>3</v>
      </c>
      <c r="D111" s="1">
        <v>12637</v>
      </c>
      <c r="E111" s="1">
        <v>22174</v>
      </c>
      <c r="F111" s="43" t="str">
        <f>VLOOKUP(Orders[[#This Row],[Product ID]],Products!A:B,2,0)</f>
        <v>Photo Cube</v>
      </c>
      <c r="G111" s="1">
        <v>12</v>
      </c>
      <c r="H111" s="18">
        <v>1.65</v>
      </c>
      <c r="I111" s="18">
        <v>19.799999999999997</v>
      </c>
    </row>
    <row r="112" spans="1:9" x14ac:dyDescent="0.3">
      <c r="A112" s="1">
        <v>566195</v>
      </c>
      <c r="B112" s="2">
        <v>43717</v>
      </c>
      <c r="C112" t="s">
        <v>6</v>
      </c>
      <c r="D112" s="1">
        <v>12433</v>
      </c>
      <c r="E112" s="1">
        <v>22197</v>
      </c>
      <c r="F112" s="43" t="str">
        <f>VLOOKUP(Orders[[#This Row],[Product ID]],Products!A:B,2,0)</f>
        <v>Popcorn Holder</v>
      </c>
      <c r="G112" s="1">
        <v>100</v>
      </c>
      <c r="H112" s="18">
        <v>0.72</v>
      </c>
      <c r="I112" s="18">
        <v>72</v>
      </c>
    </row>
    <row r="113" spans="1:9" x14ac:dyDescent="0.3">
      <c r="A113" s="1">
        <v>566567</v>
      </c>
      <c r="B113" s="2">
        <v>43721</v>
      </c>
      <c r="C113" t="s">
        <v>2</v>
      </c>
      <c r="D113" s="1">
        <v>16161</v>
      </c>
      <c r="E113" s="1">
        <v>20713</v>
      </c>
      <c r="F113" s="43" t="str">
        <f>VLOOKUP(Orders[[#This Row],[Product ID]],Products!A:B,2,0)</f>
        <v>Jumbo Bag Owls</v>
      </c>
      <c r="G113" s="1">
        <v>10</v>
      </c>
      <c r="H113" s="18">
        <v>2.08</v>
      </c>
      <c r="I113" s="18">
        <v>20.8</v>
      </c>
    </row>
    <row r="114" spans="1:9" x14ac:dyDescent="0.3">
      <c r="A114" s="1">
        <v>566721</v>
      </c>
      <c r="B114" s="2">
        <v>43722</v>
      </c>
      <c r="C114" t="s">
        <v>2</v>
      </c>
      <c r="D114" s="1">
        <v>12921</v>
      </c>
      <c r="E114" s="1">
        <v>22653</v>
      </c>
      <c r="F114" s="43" t="str">
        <f>VLOOKUP(Orders[[#This Row],[Product ID]],Products!A:B,2,0)</f>
        <v xml:space="preserve">Button Box </v>
      </c>
      <c r="G114" s="1">
        <v>10</v>
      </c>
      <c r="H114" s="18">
        <v>1.95</v>
      </c>
      <c r="I114" s="18">
        <v>19.5</v>
      </c>
    </row>
    <row r="115" spans="1:9" x14ac:dyDescent="0.3">
      <c r="A115" s="1">
        <v>567185</v>
      </c>
      <c r="B115" s="2">
        <v>43726</v>
      </c>
      <c r="C115" t="s">
        <v>2</v>
      </c>
      <c r="D115" s="1">
        <v>16370</v>
      </c>
      <c r="E115" s="1">
        <v>20713</v>
      </c>
      <c r="F115" s="43" t="str">
        <f>VLOOKUP(Orders[[#This Row],[Product ID]],Products!A:B,2,0)</f>
        <v>Jumbo Bag Owls</v>
      </c>
      <c r="G115" s="1">
        <v>4</v>
      </c>
      <c r="H115" s="18">
        <v>2.08</v>
      </c>
      <c r="I115" s="18">
        <v>8.32</v>
      </c>
    </row>
    <row r="116" spans="1:9" x14ac:dyDescent="0.3">
      <c r="A116" s="1">
        <v>567280</v>
      </c>
      <c r="B116" s="2">
        <v>43727</v>
      </c>
      <c r="C116" t="s">
        <v>4</v>
      </c>
      <c r="D116" s="1">
        <v>14646</v>
      </c>
      <c r="E116" s="1">
        <v>20713</v>
      </c>
      <c r="F116" s="43" t="str">
        <f>VLOOKUP(Orders[[#This Row],[Product ID]],Products!A:B,2,0)</f>
        <v>Jumbo Bag Owls</v>
      </c>
      <c r="G116" s="1">
        <v>100</v>
      </c>
      <c r="H116" s="18">
        <v>1.79</v>
      </c>
      <c r="I116" s="18">
        <v>179</v>
      </c>
    </row>
    <row r="117" spans="1:9" x14ac:dyDescent="0.3">
      <c r="A117" s="1">
        <v>567526</v>
      </c>
      <c r="B117" s="2">
        <v>43729</v>
      </c>
      <c r="C117" t="s">
        <v>12</v>
      </c>
      <c r="D117" s="1">
        <v>12435</v>
      </c>
      <c r="E117" s="1">
        <v>20713</v>
      </c>
      <c r="F117" s="43" t="str">
        <f>VLOOKUP(Orders[[#This Row],[Product ID]],Products!A:B,2,0)</f>
        <v>Jumbo Bag Owls</v>
      </c>
      <c r="G117" s="1">
        <v>100</v>
      </c>
      <c r="H117" s="18">
        <v>1.79</v>
      </c>
      <c r="I117" s="18">
        <v>179</v>
      </c>
    </row>
    <row r="118" spans="1:9" x14ac:dyDescent="0.3">
      <c r="A118" s="1">
        <v>567552</v>
      </c>
      <c r="B118" s="2">
        <v>43729</v>
      </c>
      <c r="C118" t="s">
        <v>3</v>
      </c>
      <c r="D118" s="1">
        <v>12583</v>
      </c>
      <c r="E118" s="1">
        <v>22197</v>
      </c>
      <c r="F118" s="43" t="str">
        <f>VLOOKUP(Orders[[#This Row],[Product ID]],Products!A:B,2,0)</f>
        <v>Popcorn Holder</v>
      </c>
      <c r="G118" s="1">
        <v>24</v>
      </c>
      <c r="H118" s="18">
        <v>0.85</v>
      </c>
      <c r="I118" s="18">
        <v>20.399999999999999</v>
      </c>
    </row>
    <row r="119" spans="1:9" x14ac:dyDescent="0.3">
      <c r="A119" s="1">
        <v>567795</v>
      </c>
      <c r="B119" s="2">
        <v>43730</v>
      </c>
      <c r="C119" t="s">
        <v>4</v>
      </c>
      <c r="D119" s="1">
        <v>14646</v>
      </c>
      <c r="E119" s="1">
        <v>20713</v>
      </c>
      <c r="F119" s="43" t="str">
        <f>VLOOKUP(Orders[[#This Row],[Product ID]],Products!A:B,2,0)</f>
        <v>Jumbo Bag Owls</v>
      </c>
      <c r="G119" s="1">
        <v>100</v>
      </c>
      <c r="H119" s="18">
        <v>1.79</v>
      </c>
      <c r="I119" s="18">
        <v>179</v>
      </c>
    </row>
    <row r="120" spans="1:9" x14ac:dyDescent="0.3">
      <c r="A120" s="1">
        <v>567915</v>
      </c>
      <c r="B120" s="2">
        <v>43730</v>
      </c>
      <c r="C120" t="s">
        <v>3</v>
      </c>
      <c r="D120" s="1">
        <v>12579</v>
      </c>
      <c r="E120" s="1">
        <v>62018</v>
      </c>
      <c r="F120" s="43" t="str">
        <f>VLOOKUP(Orders[[#This Row],[Product ID]],Products!A:B,2,0)</f>
        <v xml:space="preserve">Sombrero </v>
      </c>
      <c r="G120" s="1">
        <v>6</v>
      </c>
      <c r="H120" s="18">
        <v>1.95</v>
      </c>
      <c r="I120" s="18">
        <v>11.7</v>
      </c>
    </row>
    <row r="121" spans="1:9" x14ac:dyDescent="0.3">
      <c r="A121" s="1">
        <v>567924</v>
      </c>
      <c r="B121" s="2">
        <v>43730</v>
      </c>
      <c r="C121" t="s">
        <v>5</v>
      </c>
      <c r="D121" s="1">
        <v>12471</v>
      </c>
      <c r="E121" s="1">
        <v>22741</v>
      </c>
      <c r="F121" s="43" t="str">
        <f>VLOOKUP(Orders[[#This Row],[Product ID]],Products!A:B,2,0)</f>
        <v>Funky Diva Pen</v>
      </c>
      <c r="G121" s="1">
        <v>48</v>
      </c>
      <c r="H121" s="18">
        <v>0.85</v>
      </c>
      <c r="I121" s="18">
        <v>40.799999999999997</v>
      </c>
    </row>
    <row r="122" spans="1:9" x14ac:dyDescent="0.3">
      <c r="A122" s="1">
        <v>567928</v>
      </c>
      <c r="B122" s="2">
        <v>43730</v>
      </c>
      <c r="C122" t="s">
        <v>11</v>
      </c>
      <c r="D122" s="1">
        <v>12380</v>
      </c>
      <c r="E122" s="1">
        <v>20713</v>
      </c>
      <c r="F122" s="43" t="str">
        <f>VLOOKUP(Orders[[#This Row],[Product ID]],Products!A:B,2,0)</f>
        <v>Jumbo Bag Owls</v>
      </c>
      <c r="G122" s="1">
        <v>10</v>
      </c>
      <c r="H122" s="18">
        <v>2.08</v>
      </c>
      <c r="I122" s="18">
        <v>20.8</v>
      </c>
    </row>
    <row r="123" spans="1:9" x14ac:dyDescent="0.3">
      <c r="A123" s="1">
        <v>567938</v>
      </c>
      <c r="B123" s="2">
        <v>43730</v>
      </c>
      <c r="C123" t="s">
        <v>14</v>
      </c>
      <c r="D123" s="1">
        <v>12704</v>
      </c>
      <c r="E123" s="1">
        <v>22694</v>
      </c>
      <c r="F123" s="43" t="str">
        <f>VLOOKUP(Orders[[#This Row],[Product ID]],Products!A:B,2,0)</f>
        <v xml:space="preserve">Wicker Star </v>
      </c>
      <c r="G123" s="1">
        <v>6</v>
      </c>
      <c r="H123" s="18">
        <v>2.1</v>
      </c>
      <c r="I123" s="18">
        <v>12.600000000000001</v>
      </c>
    </row>
    <row r="124" spans="1:9" x14ac:dyDescent="0.3">
      <c r="A124" s="1">
        <v>568040</v>
      </c>
      <c r="B124" s="2">
        <v>43731</v>
      </c>
      <c r="C124" t="s">
        <v>3</v>
      </c>
      <c r="D124" s="1">
        <v>12681</v>
      </c>
      <c r="E124" s="1">
        <v>22197</v>
      </c>
      <c r="F124" s="43" t="str">
        <f>VLOOKUP(Orders[[#This Row],[Product ID]],Products!A:B,2,0)</f>
        <v>Popcorn Holder</v>
      </c>
      <c r="G124" s="1">
        <v>12</v>
      </c>
      <c r="H124" s="18">
        <v>0.85</v>
      </c>
      <c r="I124" s="18">
        <v>10.199999999999999</v>
      </c>
    </row>
    <row r="125" spans="1:9" x14ac:dyDescent="0.3">
      <c r="A125" s="1">
        <v>568179</v>
      </c>
      <c r="B125" s="2">
        <v>43733</v>
      </c>
      <c r="C125" t="s">
        <v>8</v>
      </c>
      <c r="D125" s="1">
        <v>12545</v>
      </c>
      <c r="E125" s="1">
        <v>22197</v>
      </c>
      <c r="F125" s="43" t="str">
        <f>VLOOKUP(Orders[[#This Row],[Product ID]],Products!A:B,2,0)</f>
        <v>Popcorn Holder</v>
      </c>
      <c r="G125" s="1">
        <v>12</v>
      </c>
      <c r="H125" s="18">
        <v>0.85</v>
      </c>
      <c r="I125" s="18">
        <v>10.199999999999999</v>
      </c>
    </row>
    <row r="126" spans="1:9" x14ac:dyDescent="0.3">
      <c r="A126" s="1">
        <v>568650</v>
      </c>
      <c r="B126" s="2">
        <v>43736</v>
      </c>
      <c r="C126" t="s">
        <v>7</v>
      </c>
      <c r="D126" s="1">
        <v>13505</v>
      </c>
      <c r="E126" s="1">
        <v>22653</v>
      </c>
      <c r="F126" s="43" t="str">
        <f>VLOOKUP(Orders[[#This Row],[Product ID]],Products!A:B,2,0)</f>
        <v xml:space="preserve">Button Box </v>
      </c>
      <c r="G126" s="1">
        <v>10</v>
      </c>
      <c r="H126" s="18">
        <v>1.95</v>
      </c>
      <c r="I126" s="18">
        <v>19.5</v>
      </c>
    </row>
    <row r="127" spans="1:9" x14ac:dyDescent="0.3">
      <c r="A127" s="1">
        <v>568650</v>
      </c>
      <c r="B127" s="2">
        <v>43736</v>
      </c>
      <c r="C127" t="s">
        <v>7</v>
      </c>
      <c r="D127" s="1">
        <v>13505</v>
      </c>
      <c r="E127" s="1">
        <v>22174</v>
      </c>
      <c r="F127" s="43" t="str">
        <f>VLOOKUP(Orders[[#This Row],[Product ID]],Products!A:B,2,0)</f>
        <v>Photo Cube</v>
      </c>
      <c r="G127" s="1">
        <v>12</v>
      </c>
      <c r="H127" s="18">
        <v>1.65</v>
      </c>
      <c r="I127" s="18">
        <v>19.799999999999997</v>
      </c>
    </row>
    <row r="128" spans="1:9" x14ac:dyDescent="0.3">
      <c r="A128" s="1">
        <v>568953</v>
      </c>
      <c r="B128" s="2">
        <v>43737</v>
      </c>
      <c r="C128" t="s">
        <v>3</v>
      </c>
      <c r="D128" s="1">
        <v>12728</v>
      </c>
      <c r="E128" s="1">
        <v>22197</v>
      </c>
      <c r="F128" s="43" t="str">
        <f>VLOOKUP(Orders[[#This Row],[Product ID]],Products!A:B,2,0)</f>
        <v>Popcorn Holder</v>
      </c>
      <c r="G128" s="1">
        <v>12</v>
      </c>
      <c r="H128" s="18">
        <v>0.85</v>
      </c>
      <c r="I128" s="18">
        <v>10.199999999999999</v>
      </c>
    </row>
    <row r="129" spans="1:9" x14ac:dyDescent="0.3">
      <c r="A129" s="1">
        <v>568953</v>
      </c>
      <c r="B129" s="2">
        <v>43737</v>
      </c>
      <c r="C129" t="s">
        <v>3</v>
      </c>
      <c r="D129" s="1">
        <v>12728</v>
      </c>
      <c r="E129" s="1">
        <v>22741</v>
      </c>
      <c r="F129" s="43" t="str">
        <f>VLOOKUP(Orders[[#This Row],[Product ID]],Products!A:B,2,0)</f>
        <v>Funky Diva Pen</v>
      </c>
      <c r="G129" s="1">
        <v>48</v>
      </c>
      <c r="H129" s="18">
        <v>0.85</v>
      </c>
      <c r="I129" s="18">
        <v>40.799999999999997</v>
      </c>
    </row>
    <row r="130" spans="1:9" x14ac:dyDescent="0.3">
      <c r="A130" s="1">
        <v>569332</v>
      </c>
      <c r="B130" s="2">
        <v>43741</v>
      </c>
      <c r="C130" t="s">
        <v>3</v>
      </c>
      <c r="D130" s="1">
        <v>12637</v>
      </c>
      <c r="E130" s="1">
        <v>20713</v>
      </c>
      <c r="F130" s="43" t="str">
        <f>VLOOKUP(Orders[[#This Row],[Product ID]],Products!A:B,2,0)</f>
        <v>Jumbo Bag Owls</v>
      </c>
      <c r="G130" s="1">
        <v>3</v>
      </c>
      <c r="H130" s="18">
        <v>2.08</v>
      </c>
      <c r="I130" s="18">
        <v>6.24</v>
      </c>
    </row>
    <row r="131" spans="1:9" x14ac:dyDescent="0.3">
      <c r="A131" s="1">
        <v>569486</v>
      </c>
      <c r="B131" s="2">
        <v>43742</v>
      </c>
      <c r="C131" t="s">
        <v>2</v>
      </c>
      <c r="D131" s="1">
        <v>15339</v>
      </c>
      <c r="E131" s="1">
        <v>22694</v>
      </c>
      <c r="F131" s="43" t="str">
        <f>VLOOKUP(Orders[[#This Row],[Product ID]],Products!A:B,2,0)</f>
        <v xml:space="preserve">Wicker Star </v>
      </c>
      <c r="G131" s="1">
        <v>2</v>
      </c>
      <c r="H131" s="18">
        <v>2.1</v>
      </c>
      <c r="I131" s="18">
        <v>4.2</v>
      </c>
    </row>
    <row r="132" spans="1:9" x14ac:dyDescent="0.3">
      <c r="A132" s="1">
        <v>569562</v>
      </c>
      <c r="B132" s="2">
        <v>43743</v>
      </c>
      <c r="C132" t="s">
        <v>5</v>
      </c>
      <c r="D132" s="1">
        <v>12720</v>
      </c>
      <c r="E132" s="1">
        <v>22197</v>
      </c>
      <c r="F132" s="43" t="str">
        <f>VLOOKUP(Orders[[#This Row],[Product ID]],Products!A:B,2,0)</f>
        <v>Popcorn Holder</v>
      </c>
      <c r="G132" s="1">
        <v>12</v>
      </c>
      <c r="H132" s="18">
        <v>0.85</v>
      </c>
      <c r="I132" s="18">
        <v>10.199999999999999</v>
      </c>
    </row>
    <row r="133" spans="1:9" x14ac:dyDescent="0.3">
      <c r="A133" s="1">
        <v>569640</v>
      </c>
      <c r="B133" s="2">
        <v>43743</v>
      </c>
      <c r="C133" t="s">
        <v>5</v>
      </c>
      <c r="D133" s="1">
        <v>12471</v>
      </c>
      <c r="E133" s="1">
        <v>22741</v>
      </c>
      <c r="F133" s="43" t="str">
        <f>VLOOKUP(Orders[[#This Row],[Product ID]],Products!A:B,2,0)</f>
        <v>Funky Diva Pen</v>
      </c>
      <c r="G133" s="1">
        <v>96</v>
      </c>
      <c r="H133" s="18">
        <v>0.85</v>
      </c>
      <c r="I133" s="18">
        <v>81.599999999999994</v>
      </c>
    </row>
    <row r="134" spans="1:9" x14ac:dyDescent="0.3">
      <c r="A134" s="1">
        <v>569653</v>
      </c>
      <c r="B134" s="2">
        <v>43743</v>
      </c>
      <c r="C134" t="s">
        <v>7</v>
      </c>
      <c r="D134" s="1">
        <v>12451</v>
      </c>
      <c r="E134" s="1">
        <v>20713</v>
      </c>
      <c r="F134" s="43" t="str">
        <f>VLOOKUP(Orders[[#This Row],[Product ID]],Products!A:B,2,0)</f>
        <v>Jumbo Bag Owls</v>
      </c>
      <c r="G134" s="1">
        <v>10</v>
      </c>
      <c r="H134" s="18">
        <v>2.08</v>
      </c>
      <c r="I134" s="18">
        <v>20.8</v>
      </c>
    </row>
    <row r="135" spans="1:9" x14ac:dyDescent="0.3">
      <c r="A135" s="1">
        <v>569844</v>
      </c>
      <c r="B135" s="2">
        <v>43744</v>
      </c>
      <c r="C135" t="s">
        <v>5</v>
      </c>
      <c r="D135" s="1">
        <v>12626</v>
      </c>
      <c r="E135" s="1">
        <v>20713</v>
      </c>
      <c r="F135" s="43" t="str">
        <f>VLOOKUP(Orders[[#This Row],[Product ID]],Products!A:B,2,0)</f>
        <v>Jumbo Bag Owls</v>
      </c>
      <c r="G135" s="1">
        <v>10</v>
      </c>
      <c r="H135" s="18">
        <v>2.08</v>
      </c>
      <c r="I135" s="18">
        <v>20.8</v>
      </c>
    </row>
    <row r="136" spans="1:9" x14ac:dyDescent="0.3">
      <c r="A136" s="1">
        <v>569848</v>
      </c>
      <c r="B136" s="2">
        <v>43744</v>
      </c>
      <c r="C136" t="s">
        <v>2</v>
      </c>
      <c r="D136" s="1">
        <v>16316</v>
      </c>
      <c r="E136" s="1">
        <v>22197</v>
      </c>
      <c r="F136" s="43" t="str">
        <f>VLOOKUP(Orders[[#This Row],[Product ID]],Products!A:B,2,0)</f>
        <v>Popcorn Holder</v>
      </c>
      <c r="G136" s="1">
        <v>24</v>
      </c>
      <c r="H136" s="18">
        <v>0.85</v>
      </c>
      <c r="I136" s="18">
        <v>20.399999999999999</v>
      </c>
    </row>
    <row r="137" spans="1:9" x14ac:dyDescent="0.3">
      <c r="A137" s="1">
        <v>569860</v>
      </c>
      <c r="B137" s="2">
        <v>43744</v>
      </c>
      <c r="C137" t="s">
        <v>5</v>
      </c>
      <c r="D137" s="1">
        <v>13812</v>
      </c>
      <c r="E137" s="1">
        <v>22197</v>
      </c>
      <c r="F137" s="43" t="str">
        <f>VLOOKUP(Orders[[#This Row],[Product ID]],Products!A:B,2,0)</f>
        <v>Popcorn Holder</v>
      </c>
      <c r="G137" s="1">
        <v>12</v>
      </c>
      <c r="H137" s="18">
        <v>0.85</v>
      </c>
      <c r="I137" s="18">
        <v>10.199999999999999</v>
      </c>
    </row>
    <row r="138" spans="1:9" x14ac:dyDescent="0.3">
      <c r="A138" s="1">
        <v>569866</v>
      </c>
      <c r="B138" s="2">
        <v>43744</v>
      </c>
      <c r="C138" t="s">
        <v>9</v>
      </c>
      <c r="D138" s="1">
        <v>12757</v>
      </c>
      <c r="E138" s="1">
        <v>20713</v>
      </c>
      <c r="F138" s="43" t="str">
        <f>VLOOKUP(Orders[[#This Row],[Product ID]],Products!A:B,2,0)</f>
        <v>Jumbo Bag Owls</v>
      </c>
      <c r="G138" s="1">
        <v>10</v>
      </c>
      <c r="H138" s="18">
        <v>2.08</v>
      </c>
      <c r="I138" s="18">
        <v>20.8</v>
      </c>
    </row>
    <row r="139" spans="1:9" x14ac:dyDescent="0.3">
      <c r="A139" s="1">
        <v>569866</v>
      </c>
      <c r="B139" s="2">
        <v>43744</v>
      </c>
      <c r="C139" t="s">
        <v>9</v>
      </c>
      <c r="D139" s="1">
        <v>12757</v>
      </c>
      <c r="E139" s="1">
        <v>22741</v>
      </c>
      <c r="F139" s="43" t="str">
        <f>VLOOKUP(Orders[[#This Row],[Product ID]],Products!A:B,2,0)</f>
        <v>Funky Diva Pen</v>
      </c>
      <c r="G139" s="1">
        <v>12</v>
      </c>
      <c r="H139" s="18">
        <v>0.85</v>
      </c>
      <c r="I139" s="18">
        <v>10.199999999999999</v>
      </c>
    </row>
    <row r="140" spans="1:9" x14ac:dyDescent="0.3">
      <c r="A140" s="1">
        <v>570249</v>
      </c>
      <c r="B140" s="2">
        <v>43748</v>
      </c>
      <c r="C140" t="s">
        <v>2</v>
      </c>
      <c r="D140" s="1">
        <v>17509</v>
      </c>
      <c r="E140" s="1">
        <v>21888</v>
      </c>
      <c r="F140" s="43" t="str">
        <f>VLOOKUP(Orders[[#This Row],[Product ID]],Products!A:B,2,0)</f>
        <v>Bingo Set</v>
      </c>
      <c r="G140" s="1">
        <v>4</v>
      </c>
      <c r="H140" s="18">
        <v>3.75</v>
      </c>
      <c r="I140" s="18">
        <v>15</v>
      </c>
    </row>
    <row r="141" spans="1:9" x14ac:dyDescent="0.3">
      <c r="A141" s="1">
        <v>570653</v>
      </c>
      <c r="B141" s="2">
        <v>43749</v>
      </c>
      <c r="C141" t="s">
        <v>2</v>
      </c>
      <c r="D141" s="1">
        <v>14710</v>
      </c>
      <c r="E141" s="1">
        <v>22197</v>
      </c>
      <c r="F141" s="43" t="str">
        <f>VLOOKUP(Orders[[#This Row],[Product ID]],Products!A:B,2,0)</f>
        <v>Popcorn Holder</v>
      </c>
      <c r="G141" s="1">
        <v>6</v>
      </c>
      <c r="H141" s="18">
        <v>0.85</v>
      </c>
      <c r="I141" s="18">
        <v>5.0999999999999996</v>
      </c>
    </row>
    <row r="142" spans="1:9" x14ac:dyDescent="0.3">
      <c r="A142" s="1">
        <v>570672</v>
      </c>
      <c r="B142" s="2">
        <v>43749</v>
      </c>
      <c r="C142" t="s">
        <v>3</v>
      </c>
      <c r="D142" s="1">
        <v>12536</v>
      </c>
      <c r="E142" s="1">
        <v>21888</v>
      </c>
      <c r="F142" s="43" t="str">
        <f>VLOOKUP(Orders[[#This Row],[Product ID]],Products!A:B,2,0)</f>
        <v>Bingo Set</v>
      </c>
      <c r="G142" s="1">
        <v>4</v>
      </c>
      <c r="H142" s="18">
        <v>3.75</v>
      </c>
      <c r="I142" s="18">
        <v>15</v>
      </c>
    </row>
    <row r="143" spans="1:9" x14ac:dyDescent="0.3">
      <c r="A143" s="1">
        <v>570833</v>
      </c>
      <c r="B143" s="2">
        <v>43750</v>
      </c>
      <c r="C143" t="s">
        <v>2</v>
      </c>
      <c r="D143" s="1">
        <v>14834</v>
      </c>
      <c r="E143" s="1">
        <v>22197</v>
      </c>
      <c r="F143" s="43" t="str">
        <f>VLOOKUP(Orders[[#This Row],[Product ID]],Products!A:B,2,0)</f>
        <v>Popcorn Holder</v>
      </c>
      <c r="G143" s="1">
        <v>24</v>
      </c>
      <c r="H143" s="18">
        <v>0.85</v>
      </c>
      <c r="I143" s="18">
        <v>20.399999999999999</v>
      </c>
    </row>
    <row r="144" spans="1:9" x14ac:dyDescent="0.3">
      <c r="A144" s="1">
        <v>570851</v>
      </c>
      <c r="B144" s="2">
        <v>43750</v>
      </c>
      <c r="C144" t="s">
        <v>3</v>
      </c>
      <c r="D144" s="1">
        <v>12583</v>
      </c>
      <c r="E144" s="1">
        <v>22197</v>
      </c>
      <c r="F144" s="43" t="str">
        <f>VLOOKUP(Orders[[#This Row],[Product ID]],Products!A:B,2,0)</f>
        <v>Popcorn Holder</v>
      </c>
      <c r="G144" s="1">
        <v>12</v>
      </c>
      <c r="H144" s="18">
        <v>0.85</v>
      </c>
      <c r="I144" s="18">
        <v>10.199999999999999</v>
      </c>
    </row>
    <row r="145" spans="1:9" x14ac:dyDescent="0.3">
      <c r="A145" s="1">
        <v>570964</v>
      </c>
      <c r="B145" s="2">
        <v>43751</v>
      </c>
      <c r="C145" t="s">
        <v>9</v>
      </c>
      <c r="D145" s="1">
        <v>12766</v>
      </c>
      <c r="E145" s="1">
        <v>21888</v>
      </c>
      <c r="F145" s="43" t="str">
        <f>VLOOKUP(Orders[[#This Row],[Product ID]],Products!A:B,2,0)</f>
        <v>Bingo Set</v>
      </c>
      <c r="G145" s="1">
        <v>4</v>
      </c>
      <c r="H145" s="18">
        <v>3.75</v>
      </c>
      <c r="I145" s="18">
        <v>15</v>
      </c>
    </row>
    <row r="146" spans="1:9" x14ac:dyDescent="0.3">
      <c r="A146" s="1">
        <v>571227</v>
      </c>
      <c r="B146" s="2">
        <v>43752</v>
      </c>
      <c r="C146" t="s">
        <v>5</v>
      </c>
      <c r="D146" s="1">
        <v>12477</v>
      </c>
      <c r="E146" s="1">
        <v>21116</v>
      </c>
      <c r="F146" s="43" t="str">
        <f>VLOOKUP(Orders[[#This Row],[Product ID]],Products!A:B,2,0)</f>
        <v>Owl Doorstop</v>
      </c>
      <c r="G146" s="1">
        <v>6</v>
      </c>
      <c r="H146" s="18">
        <v>4.95</v>
      </c>
      <c r="I146" s="18">
        <v>29.700000000000003</v>
      </c>
    </row>
    <row r="147" spans="1:9" x14ac:dyDescent="0.3">
      <c r="A147" s="1">
        <v>571280</v>
      </c>
      <c r="B147" s="2">
        <v>43754</v>
      </c>
      <c r="C147" t="s">
        <v>2</v>
      </c>
      <c r="D147" s="1">
        <v>18122</v>
      </c>
      <c r="E147" s="1">
        <v>22197</v>
      </c>
      <c r="F147" s="43" t="str">
        <f>VLOOKUP(Orders[[#This Row],[Product ID]],Products!A:B,2,0)</f>
        <v>Popcorn Holder</v>
      </c>
      <c r="G147" s="1">
        <v>6</v>
      </c>
      <c r="H147" s="18">
        <v>0.85</v>
      </c>
      <c r="I147" s="18">
        <v>5.0999999999999996</v>
      </c>
    </row>
    <row r="148" spans="1:9" x14ac:dyDescent="0.3">
      <c r="A148" s="1">
        <v>571328</v>
      </c>
      <c r="B148" s="2">
        <v>43755</v>
      </c>
      <c r="C148" t="s">
        <v>5</v>
      </c>
      <c r="D148" s="1">
        <v>12473</v>
      </c>
      <c r="E148" s="1">
        <v>22741</v>
      </c>
      <c r="F148" s="43" t="str">
        <f>VLOOKUP(Orders[[#This Row],[Product ID]],Products!A:B,2,0)</f>
        <v>Funky Diva Pen</v>
      </c>
      <c r="G148" s="1">
        <v>48</v>
      </c>
      <c r="H148" s="18">
        <v>0.85</v>
      </c>
      <c r="I148" s="18">
        <v>40.799999999999997</v>
      </c>
    </row>
    <row r="149" spans="1:9" x14ac:dyDescent="0.3">
      <c r="A149" s="1">
        <v>571670</v>
      </c>
      <c r="B149" s="2">
        <v>43756</v>
      </c>
      <c r="C149" t="s">
        <v>10</v>
      </c>
      <c r="D149" s="1">
        <v>12611</v>
      </c>
      <c r="E149" s="1">
        <v>22197</v>
      </c>
      <c r="F149" s="43" t="str">
        <f>VLOOKUP(Orders[[#This Row],[Product ID]],Products!A:B,2,0)</f>
        <v>Popcorn Holder</v>
      </c>
      <c r="G149" s="1">
        <v>12</v>
      </c>
      <c r="H149" s="18">
        <v>0.85</v>
      </c>
      <c r="I149" s="18">
        <v>10.199999999999999</v>
      </c>
    </row>
    <row r="150" spans="1:9" x14ac:dyDescent="0.3">
      <c r="A150" s="1">
        <v>571904</v>
      </c>
      <c r="B150" s="2">
        <v>43757</v>
      </c>
      <c r="C150" t="s">
        <v>5</v>
      </c>
      <c r="D150" s="1">
        <v>12522</v>
      </c>
      <c r="E150" s="1">
        <v>21116</v>
      </c>
      <c r="F150" s="43" t="str">
        <f>VLOOKUP(Orders[[#This Row],[Product ID]],Products!A:B,2,0)</f>
        <v>Owl Doorstop</v>
      </c>
      <c r="G150" s="1">
        <v>3</v>
      </c>
      <c r="H150" s="18">
        <v>4.95</v>
      </c>
      <c r="I150" s="18">
        <v>14.850000000000001</v>
      </c>
    </row>
    <row r="151" spans="1:9" x14ac:dyDescent="0.3">
      <c r="A151" s="1">
        <v>572058</v>
      </c>
      <c r="B151" s="2">
        <v>43758</v>
      </c>
      <c r="C151" t="s">
        <v>2</v>
      </c>
      <c r="D151" s="1">
        <v>18252</v>
      </c>
      <c r="E151" s="1">
        <v>23417</v>
      </c>
      <c r="F151" s="43" t="str">
        <f>VLOOKUP(Orders[[#This Row],[Product ID]],Products!A:B,2,0)</f>
        <v>Bathroom Hook</v>
      </c>
      <c r="G151" s="1">
        <v>1</v>
      </c>
      <c r="H151" s="18">
        <v>1.65</v>
      </c>
      <c r="I151" s="18">
        <v>1.65</v>
      </c>
    </row>
    <row r="152" spans="1:9" x14ac:dyDescent="0.3">
      <c r="A152" s="1">
        <v>572065</v>
      </c>
      <c r="B152" s="2">
        <v>43758</v>
      </c>
      <c r="C152" t="s">
        <v>8</v>
      </c>
      <c r="D152" s="1">
        <v>12556</v>
      </c>
      <c r="E152" s="1">
        <v>22197</v>
      </c>
      <c r="F152" s="43" t="str">
        <f>VLOOKUP(Orders[[#This Row],[Product ID]],Products!A:B,2,0)</f>
        <v>Popcorn Holder</v>
      </c>
      <c r="G152" s="1">
        <v>3</v>
      </c>
      <c r="H152" s="18">
        <v>0.85</v>
      </c>
      <c r="I152" s="18">
        <v>2.5499999999999998</v>
      </c>
    </row>
    <row r="153" spans="1:9" x14ac:dyDescent="0.3">
      <c r="A153" s="1">
        <v>572327</v>
      </c>
      <c r="B153" s="2">
        <v>43762</v>
      </c>
      <c r="C153" t="s">
        <v>2</v>
      </c>
      <c r="D153" s="1">
        <v>15277</v>
      </c>
      <c r="E153" s="1">
        <v>21888</v>
      </c>
      <c r="F153" s="43" t="str">
        <f>VLOOKUP(Orders[[#This Row],[Product ID]],Products!A:B,2,0)</f>
        <v>Bingo Set</v>
      </c>
      <c r="G153" s="1">
        <v>8</v>
      </c>
      <c r="H153" s="18">
        <v>3.75</v>
      </c>
      <c r="I153" s="18">
        <v>30</v>
      </c>
    </row>
    <row r="154" spans="1:9" x14ac:dyDescent="0.3">
      <c r="A154" s="1">
        <v>572887</v>
      </c>
      <c r="B154" s="2">
        <v>43764</v>
      </c>
      <c r="C154" t="s">
        <v>11</v>
      </c>
      <c r="D154" s="1">
        <v>12362</v>
      </c>
      <c r="E154" s="1">
        <v>22174</v>
      </c>
      <c r="F154" s="43" t="str">
        <f>VLOOKUP(Orders[[#This Row],[Product ID]],Products!A:B,2,0)</f>
        <v>Photo Cube</v>
      </c>
      <c r="G154" s="1">
        <v>12</v>
      </c>
      <c r="H154" s="18">
        <v>1.65</v>
      </c>
      <c r="I154" s="18">
        <v>19.799999999999997</v>
      </c>
    </row>
    <row r="155" spans="1:9" x14ac:dyDescent="0.3">
      <c r="A155" s="1">
        <v>573333</v>
      </c>
      <c r="B155" s="2">
        <v>43768</v>
      </c>
      <c r="C155" t="s">
        <v>13</v>
      </c>
      <c r="D155" s="1">
        <v>12483</v>
      </c>
      <c r="E155" s="1">
        <v>21888</v>
      </c>
      <c r="F155" s="43" t="str">
        <f>VLOOKUP(Orders[[#This Row],[Product ID]],Products!A:B,2,0)</f>
        <v>Bingo Set</v>
      </c>
      <c r="G155" s="1">
        <v>4</v>
      </c>
      <c r="H155" s="18">
        <v>3.75</v>
      </c>
      <c r="I155" s="18">
        <v>15</v>
      </c>
    </row>
    <row r="156" spans="1:9" x14ac:dyDescent="0.3">
      <c r="A156" s="1">
        <v>573343</v>
      </c>
      <c r="B156" s="2">
        <v>43768</v>
      </c>
      <c r="C156" t="s">
        <v>2</v>
      </c>
      <c r="D156" s="1">
        <v>13566</v>
      </c>
      <c r="E156" s="1">
        <v>21888</v>
      </c>
      <c r="F156" s="43" t="str">
        <f>VLOOKUP(Orders[[#This Row],[Product ID]],Products!A:B,2,0)</f>
        <v>Bingo Set</v>
      </c>
      <c r="G156" s="1">
        <v>2</v>
      </c>
      <c r="H156" s="18">
        <v>3.75</v>
      </c>
      <c r="I156" s="18">
        <v>7.5</v>
      </c>
    </row>
    <row r="157" spans="1:9" x14ac:dyDescent="0.3">
      <c r="A157" s="1">
        <v>573656</v>
      </c>
      <c r="B157" s="2">
        <v>43769</v>
      </c>
      <c r="C157" t="s">
        <v>11</v>
      </c>
      <c r="D157" s="1">
        <v>12417</v>
      </c>
      <c r="E157" s="1">
        <v>22741</v>
      </c>
      <c r="F157" s="43" t="str">
        <f>VLOOKUP(Orders[[#This Row],[Product ID]],Products!A:B,2,0)</f>
        <v>Funky Diva Pen</v>
      </c>
      <c r="G157" s="1">
        <v>48</v>
      </c>
      <c r="H157" s="18">
        <v>0.85</v>
      </c>
      <c r="I157" s="18">
        <v>40.799999999999997</v>
      </c>
    </row>
    <row r="158" spans="1:9" x14ac:dyDescent="0.3">
      <c r="A158" s="1">
        <v>573814</v>
      </c>
      <c r="B158" s="2">
        <v>43770</v>
      </c>
      <c r="C158" t="s">
        <v>2</v>
      </c>
      <c r="D158" s="1">
        <v>13268</v>
      </c>
      <c r="E158" s="1">
        <v>23417</v>
      </c>
      <c r="F158" s="43" t="str">
        <f>VLOOKUP(Orders[[#This Row],[Product ID]],Products!A:B,2,0)</f>
        <v>Bathroom Hook</v>
      </c>
      <c r="G158" s="1">
        <v>4</v>
      </c>
      <c r="H158" s="18">
        <v>1.65</v>
      </c>
      <c r="I158" s="18">
        <v>6.6</v>
      </c>
    </row>
    <row r="159" spans="1:9" x14ac:dyDescent="0.3">
      <c r="A159" s="1">
        <v>573889</v>
      </c>
      <c r="B159" s="2">
        <v>43770</v>
      </c>
      <c r="C159" t="s">
        <v>2</v>
      </c>
      <c r="D159" s="1">
        <v>13571</v>
      </c>
      <c r="E159" s="1">
        <v>22197</v>
      </c>
      <c r="F159" s="43" t="str">
        <f>VLOOKUP(Orders[[#This Row],[Product ID]],Products!A:B,2,0)</f>
        <v>Popcorn Holder</v>
      </c>
      <c r="G159" s="1">
        <v>15</v>
      </c>
      <c r="H159" s="18">
        <v>0.85</v>
      </c>
      <c r="I159" s="18">
        <v>12.75</v>
      </c>
    </row>
    <row r="160" spans="1:9" x14ac:dyDescent="0.3">
      <c r="A160" s="1">
        <v>574093</v>
      </c>
      <c r="B160" s="2">
        <v>43772</v>
      </c>
      <c r="C160" t="s">
        <v>3</v>
      </c>
      <c r="D160" s="1">
        <v>12437</v>
      </c>
      <c r="E160" s="1">
        <v>22197</v>
      </c>
      <c r="F160" s="43" t="str">
        <f>VLOOKUP(Orders[[#This Row],[Product ID]],Products!A:B,2,0)</f>
        <v>Popcorn Holder</v>
      </c>
      <c r="G160" s="1">
        <v>12</v>
      </c>
      <c r="H160" s="18">
        <v>0.85</v>
      </c>
      <c r="I160" s="18">
        <v>10.199999999999999</v>
      </c>
    </row>
    <row r="161" spans="1:9" x14ac:dyDescent="0.3">
      <c r="A161" s="1">
        <v>574329</v>
      </c>
      <c r="B161" s="2">
        <v>43773</v>
      </c>
      <c r="C161" t="s">
        <v>11</v>
      </c>
      <c r="D161" s="1">
        <v>12362</v>
      </c>
      <c r="E161" s="1">
        <v>22197</v>
      </c>
      <c r="F161" s="43" t="str">
        <f>VLOOKUP(Orders[[#This Row],[Product ID]],Products!A:B,2,0)</f>
        <v>Popcorn Holder</v>
      </c>
      <c r="G161" s="1">
        <v>36</v>
      </c>
      <c r="H161" s="18">
        <v>0.85</v>
      </c>
      <c r="I161" s="18">
        <v>30.599999999999998</v>
      </c>
    </row>
    <row r="162" spans="1:9" x14ac:dyDescent="0.3">
      <c r="A162" s="1">
        <v>574501</v>
      </c>
      <c r="B162" s="2">
        <v>43773</v>
      </c>
      <c r="C162" t="s">
        <v>3</v>
      </c>
      <c r="D162" s="1">
        <v>12577</v>
      </c>
      <c r="E162" s="1">
        <v>22174</v>
      </c>
      <c r="F162" s="43" t="str">
        <f>VLOOKUP(Orders[[#This Row],[Product ID]],Products!A:B,2,0)</f>
        <v>Photo Cube</v>
      </c>
      <c r="G162" s="1">
        <v>3</v>
      </c>
      <c r="H162" s="18">
        <v>1.65</v>
      </c>
      <c r="I162" s="18">
        <v>4.9499999999999993</v>
      </c>
    </row>
    <row r="163" spans="1:9" x14ac:dyDescent="0.3">
      <c r="A163" s="1">
        <v>574506</v>
      </c>
      <c r="B163" s="2">
        <v>43773</v>
      </c>
      <c r="C163" t="s">
        <v>3</v>
      </c>
      <c r="D163" s="1">
        <v>12577</v>
      </c>
      <c r="E163" s="1">
        <v>22197</v>
      </c>
      <c r="F163" s="43" t="str">
        <f>VLOOKUP(Orders[[#This Row],[Product ID]],Products!A:B,2,0)</f>
        <v>Popcorn Holder</v>
      </c>
      <c r="G163" s="1">
        <v>2</v>
      </c>
      <c r="H163" s="18">
        <v>0.85</v>
      </c>
      <c r="I163" s="18">
        <v>1.7</v>
      </c>
    </row>
    <row r="164" spans="1:9" x14ac:dyDescent="0.3">
      <c r="A164" s="1">
        <v>574506</v>
      </c>
      <c r="B164" s="2">
        <v>43773</v>
      </c>
      <c r="C164" t="s">
        <v>3</v>
      </c>
      <c r="D164" s="1">
        <v>12577</v>
      </c>
      <c r="E164" s="1">
        <v>22197</v>
      </c>
      <c r="F164" s="43" t="str">
        <f>VLOOKUP(Orders[[#This Row],[Product ID]],Products!A:B,2,0)</f>
        <v>Popcorn Holder</v>
      </c>
      <c r="G164" s="1">
        <v>4</v>
      </c>
      <c r="H164" s="18">
        <v>0.85</v>
      </c>
      <c r="I164" s="18">
        <v>3.4</v>
      </c>
    </row>
    <row r="165" spans="1:9" x14ac:dyDescent="0.3">
      <c r="A165" s="1">
        <v>574550</v>
      </c>
      <c r="B165" s="2">
        <v>43773</v>
      </c>
      <c r="C165" t="s">
        <v>8</v>
      </c>
      <c r="D165" s="1">
        <v>12484</v>
      </c>
      <c r="E165" s="1">
        <v>22197</v>
      </c>
      <c r="F165" s="43" t="str">
        <f>VLOOKUP(Orders[[#This Row],[Product ID]],Products!A:B,2,0)</f>
        <v>Popcorn Holder</v>
      </c>
      <c r="G165" s="1">
        <v>12</v>
      </c>
      <c r="H165" s="18">
        <v>0.85</v>
      </c>
      <c r="I165" s="18">
        <v>10.199999999999999</v>
      </c>
    </row>
    <row r="166" spans="1:9" x14ac:dyDescent="0.3">
      <c r="A166" s="1">
        <v>574575</v>
      </c>
      <c r="B166" s="2">
        <v>43773</v>
      </c>
      <c r="C166" t="s">
        <v>2</v>
      </c>
      <c r="D166" s="1">
        <v>14971</v>
      </c>
      <c r="E166" s="1">
        <v>22694</v>
      </c>
      <c r="F166" s="43" t="str">
        <f>VLOOKUP(Orders[[#This Row],[Product ID]],Products!A:B,2,0)</f>
        <v xml:space="preserve">Wicker Star </v>
      </c>
      <c r="G166" s="1">
        <v>2</v>
      </c>
      <c r="H166" s="18">
        <v>2.1</v>
      </c>
      <c r="I166" s="18">
        <v>4.2</v>
      </c>
    </row>
    <row r="167" spans="1:9" x14ac:dyDescent="0.3">
      <c r="A167" s="1">
        <v>574709</v>
      </c>
      <c r="B167" s="2">
        <v>43775</v>
      </c>
      <c r="C167" t="s">
        <v>2</v>
      </c>
      <c r="D167" s="1">
        <v>17768</v>
      </c>
      <c r="E167" s="1">
        <v>22197</v>
      </c>
      <c r="F167" s="43" t="str">
        <f>VLOOKUP(Orders[[#This Row],[Product ID]],Products!A:B,2,0)</f>
        <v>Popcorn Holder</v>
      </c>
      <c r="G167" s="1">
        <v>22</v>
      </c>
      <c r="H167" s="18">
        <v>0.85</v>
      </c>
      <c r="I167" s="18">
        <v>18.7</v>
      </c>
    </row>
    <row r="168" spans="1:9" x14ac:dyDescent="0.3">
      <c r="A168" s="1">
        <v>574714</v>
      </c>
      <c r="B168" s="2">
        <v>43775</v>
      </c>
      <c r="C168" t="s">
        <v>2</v>
      </c>
      <c r="D168" s="1">
        <v>15427</v>
      </c>
      <c r="E168" s="1">
        <v>22197</v>
      </c>
      <c r="F168" s="43" t="str">
        <f>VLOOKUP(Orders[[#This Row],[Product ID]],Products!A:B,2,0)</f>
        <v>Popcorn Holder</v>
      </c>
      <c r="G168" s="1">
        <v>4</v>
      </c>
      <c r="H168" s="18">
        <v>0.85</v>
      </c>
      <c r="I168" s="18">
        <v>3.4</v>
      </c>
    </row>
    <row r="169" spans="1:9" x14ac:dyDescent="0.3">
      <c r="A169" s="1">
        <v>574740</v>
      </c>
      <c r="B169" s="2">
        <v>43775</v>
      </c>
      <c r="C169" t="s">
        <v>7</v>
      </c>
      <c r="D169" s="1">
        <v>12357</v>
      </c>
      <c r="E169" s="1">
        <v>22190</v>
      </c>
      <c r="F169" s="43" t="str">
        <f>VLOOKUP(Orders[[#This Row],[Product ID]],Products!A:B,2,0)</f>
        <v>Local Cafe Mug</v>
      </c>
      <c r="G169" s="1">
        <v>12</v>
      </c>
      <c r="H169" s="18">
        <v>2.1</v>
      </c>
      <c r="I169" s="18">
        <v>25.200000000000003</v>
      </c>
    </row>
    <row r="170" spans="1:9" x14ac:dyDescent="0.3">
      <c r="A170" s="1">
        <v>574740</v>
      </c>
      <c r="B170" s="2">
        <v>43775</v>
      </c>
      <c r="C170" t="s">
        <v>7</v>
      </c>
      <c r="D170" s="1">
        <v>12357</v>
      </c>
      <c r="E170" s="1">
        <v>21116</v>
      </c>
      <c r="F170" s="43" t="str">
        <f>VLOOKUP(Orders[[#This Row],[Product ID]],Products!A:B,2,0)</f>
        <v>Owl Doorstop</v>
      </c>
      <c r="G170" s="1">
        <v>16</v>
      </c>
      <c r="H170" s="18">
        <v>4.25</v>
      </c>
      <c r="I170" s="18">
        <v>68</v>
      </c>
    </row>
    <row r="171" spans="1:9" x14ac:dyDescent="0.3">
      <c r="A171" s="1">
        <v>575067</v>
      </c>
      <c r="B171" s="2">
        <v>43777</v>
      </c>
      <c r="C171" t="s">
        <v>3</v>
      </c>
      <c r="D171" s="1">
        <v>12583</v>
      </c>
      <c r="E171" s="1">
        <v>22197</v>
      </c>
      <c r="F171" s="43" t="str">
        <f>VLOOKUP(Orders[[#This Row],[Product ID]],Products!A:B,2,0)</f>
        <v>Popcorn Holder</v>
      </c>
      <c r="G171" s="1">
        <v>24</v>
      </c>
      <c r="H171" s="18">
        <v>0.85</v>
      </c>
      <c r="I171" s="18">
        <v>20.399999999999999</v>
      </c>
    </row>
    <row r="172" spans="1:9" x14ac:dyDescent="0.3">
      <c r="A172" s="1">
        <v>575331</v>
      </c>
      <c r="B172" s="2">
        <v>43778</v>
      </c>
      <c r="C172" t="s">
        <v>2</v>
      </c>
      <c r="D172" s="1">
        <v>13209</v>
      </c>
      <c r="E172" s="1">
        <v>22197</v>
      </c>
      <c r="F172" s="43" t="str">
        <f>VLOOKUP(Orders[[#This Row],[Product ID]],Products!A:B,2,0)</f>
        <v>Popcorn Holder</v>
      </c>
      <c r="G172" s="1">
        <v>12</v>
      </c>
      <c r="H172" s="18">
        <v>0.85</v>
      </c>
      <c r="I172" s="18">
        <v>10.199999999999999</v>
      </c>
    </row>
    <row r="173" spans="1:9" x14ac:dyDescent="0.3">
      <c r="A173" s="1">
        <v>575507</v>
      </c>
      <c r="B173" s="2">
        <v>43779</v>
      </c>
      <c r="C173" t="s">
        <v>2</v>
      </c>
      <c r="D173" s="1">
        <v>17197</v>
      </c>
      <c r="E173" s="1">
        <v>21888</v>
      </c>
      <c r="F173" s="43" t="str">
        <f>VLOOKUP(Orders[[#This Row],[Product ID]],Products!A:B,2,0)</f>
        <v>Bingo Set</v>
      </c>
      <c r="G173" s="1">
        <v>4</v>
      </c>
      <c r="H173" s="18">
        <v>3.75</v>
      </c>
      <c r="I173" s="18">
        <v>15</v>
      </c>
    </row>
    <row r="174" spans="1:9" x14ac:dyDescent="0.3">
      <c r="A174" s="1">
        <v>575514</v>
      </c>
      <c r="B174" s="2">
        <v>43779</v>
      </c>
      <c r="C174" t="s">
        <v>8</v>
      </c>
      <c r="D174" s="1">
        <v>12541</v>
      </c>
      <c r="E174" s="1">
        <v>22197</v>
      </c>
      <c r="F174" s="43" t="str">
        <f>VLOOKUP(Orders[[#This Row],[Product ID]],Products!A:B,2,0)</f>
        <v>Popcorn Holder</v>
      </c>
      <c r="G174" s="1">
        <v>24</v>
      </c>
      <c r="H174" s="18">
        <v>0.85</v>
      </c>
      <c r="I174" s="18">
        <v>20.399999999999999</v>
      </c>
    </row>
    <row r="175" spans="1:9" x14ac:dyDescent="0.3">
      <c r="A175" s="1">
        <v>575880</v>
      </c>
      <c r="B175" s="2">
        <v>43780</v>
      </c>
      <c r="C175" t="s">
        <v>3</v>
      </c>
      <c r="D175" s="1">
        <v>12726</v>
      </c>
      <c r="E175" s="1">
        <v>21888</v>
      </c>
      <c r="F175" s="43" t="str">
        <f>VLOOKUP(Orders[[#This Row],[Product ID]],Products!A:B,2,0)</f>
        <v>Bingo Set</v>
      </c>
      <c r="G175" s="1">
        <v>4</v>
      </c>
      <c r="H175" s="18">
        <v>3.75</v>
      </c>
      <c r="I175" s="18">
        <v>15</v>
      </c>
    </row>
    <row r="176" spans="1:9" x14ac:dyDescent="0.3">
      <c r="A176" s="1">
        <v>575886</v>
      </c>
      <c r="B176" s="2">
        <v>43780</v>
      </c>
      <c r="C176" t="s">
        <v>5</v>
      </c>
      <c r="D176" s="1">
        <v>12517</v>
      </c>
      <c r="E176" s="1">
        <v>20713</v>
      </c>
      <c r="F176" s="43" t="str">
        <f>VLOOKUP(Orders[[#This Row],[Product ID]],Products!A:B,2,0)</f>
        <v>Jumbo Bag Owls</v>
      </c>
      <c r="G176" s="1">
        <v>3</v>
      </c>
      <c r="H176" s="18">
        <v>2.08</v>
      </c>
      <c r="I176" s="18">
        <v>6.24</v>
      </c>
    </row>
    <row r="177" spans="1:9" x14ac:dyDescent="0.3">
      <c r="A177" s="1">
        <v>576215</v>
      </c>
      <c r="B177" s="2">
        <v>43783</v>
      </c>
      <c r="C177" t="s">
        <v>2</v>
      </c>
      <c r="D177" s="1">
        <v>17652</v>
      </c>
      <c r="E177" s="1">
        <v>22197</v>
      </c>
      <c r="F177" s="43" t="str">
        <f>VLOOKUP(Orders[[#This Row],[Product ID]],Products!A:B,2,0)</f>
        <v>Popcorn Holder</v>
      </c>
      <c r="G177" s="1">
        <v>24</v>
      </c>
      <c r="H177" s="18">
        <v>0.85</v>
      </c>
      <c r="I177" s="18">
        <v>20.399999999999999</v>
      </c>
    </row>
    <row r="178" spans="1:9" x14ac:dyDescent="0.3">
      <c r="A178" s="1">
        <v>576255</v>
      </c>
      <c r="B178" s="2">
        <v>43783</v>
      </c>
      <c r="C178" t="s">
        <v>2</v>
      </c>
      <c r="D178" s="1">
        <v>15993</v>
      </c>
      <c r="E178" s="1">
        <v>22197</v>
      </c>
      <c r="F178" s="43" t="str">
        <f>VLOOKUP(Orders[[#This Row],[Product ID]],Products!A:B,2,0)</f>
        <v>Popcorn Holder</v>
      </c>
      <c r="G178" s="1">
        <v>10</v>
      </c>
      <c r="H178" s="18">
        <v>0.85</v>
      </c>
      <c r="I178" s="18">
        <v>8.5</v>
      </c>
    </row>
    <row r="179" spans="1:9" x14ac:dyDescent="0.3">
      <c r="A179" s="1">
        <v>576629</v>
      </c>
      <c r="B179" s="2">
        <v>43785</v>
      </c>
      <c r="C179" t="s">
        <v>5</v>
      </c>
      <c r="D179" s="1">
        <v>12621</v>
      </c>
      <c r="E179" s="1">
        <v>62018</v>
      </c>
      <c r="F179" s="43" t="str">
        <f>VLOOKUP(Orders[[#This Row],[Product ID]],Products!A:B,2,0)</f>
        <v xml:space="preserve">Sombrero </v>
      </c>
      <c r="G179" s="1">
        <v>6</v>
      </c>
      <c r="H179" s="18">
        <v>1.95</v>
      </c>
      <c r="I179" s="18">
        <v>11.7</v>
      </c>
    </row>
    <row r="180" spans="1:9" x14ac:dyDescent="0.3">
      <c r="A180" s="1">
        <v>577033</v>
      </c>
      <c r="B180" s="2">
        <v>43786</v>
      </c>
      <c r="C180" t="s">
        <v>2</v>
      </c>
      <c r="D180" s="1">
        <v>17797</v>
      </c>
      <c r="E180" s="1">
        <v>22694</v>
      </c>
      <c r="F180" s="43" t="str">
        <f>VLOOKUP(Orders[[#This Row],[Product ID]],Products!A:B,2,0)</f>
        <v xml:space="preserve">Wicker Star </v>
      </c>
      <c r="G180" s="1">
        <v>4</v>
      </c>
      <c r="H180" s="18">
        <v>2.1</v>
      </c>
      <c r="I180" s="18">
        <v>8.4</v>
      </c>
    </row>
    <row r="181" spans="1:9" x14ac:dyDescent="0.3">
      <c r="A181" s="1">
        <v>577046</v>
      </c>
      <c r="B181" s="2">
        <v>43786</v>
      </c>
      <c r="C181" t="s">
        <v>11</v>
      </c>
      <c r="D181" s="1">
        <v>12449</v>
      </c>
      <c r="E181" s="1">
        <v>22174</v>
      </c>
      <c r="F181" s="43" t="str">
        <f>VLOOKUP(Orders[[#This Row],[Product ID]],Products!A:B,2,0)</f>
        <v>Photo Cube</v>
      </c>
      <c r="G181" s="1">
        <v>12</v>
      </c>
      <c r="H181" s="18">
        <v>1.65</v>
      </c>
      <c r="I181" s="18">
        <v>19.799999999999997</v>
      </c>
    </row>
    <row r="182" spans="1:9" x14ac:dyDescent="0.3">
      <c r="A182" s="1">
        <v>577121</v>
      </c>
      <c r="B182" s="2">
        <v>43786</v>
      </c>
      <c r="C182" t="s">
        <v>3</v>
      </c>
      <c r="D182" s="1">
        <v>12681</v>
      </c>
      <c r="E182" s="1">
        <v>22197</v>
      </c>
      <c r="F182" s="43" t="str">
        <f>VLOOKUP(Orders[[#This Row],[Product ID]],Products!A:B,2,0)</f>
        <v>Popcorn Holder</v>
      </c>
      <c r="G182" s="1">
        <v>12</v>
      </c>
      <c r="H182" s="18">
        <v>0.85</v>
      </c>
      <c r="I182" s="18">
        <v>10.199999999999999</v>
      </c>
    </row>
    <row r="183" spans="1:9" x14ac:dyDescent="0.3">
      <c r="A183" s="1">
        <v>577152</v>
      </c>
      <c r="B183" s="2">
        <v>43787</v>
      </c>
      <c r="C183" t="s">
        <v>3</v>
      </c>
      <c r="D183" s="1">
        <v>14277</v>
      </c>
      <c r="E183" s="1">
        <v>22741</v>
      </c>
      <c r="F183" s="43" t="str">
        <f>VLOOKUP(Orders[[#This Row],[Product ID]],Products!A:B,2,0)</f>
        <v>Funky Diva Pen</v>
      </c>
      <c r="G183" s="1">
        <v>48</v>
      </c>
      <c r="H183" s="18">
        <v>0.85</v>
      </c>
      <c r="I183" s="18">
        <v>40.799999999999997</v>
      </c>
    </row>
    <row r="184" spans="1:9" x14ac:dyDescent="0.3">
      <c r="A184" s="1">
        <v>577314</v>
      </c>
      <c r="B184" s="2">
        <v>43787</v>
      </c>
      <c r="C184" t="s">
        <v>6</v>
      </c>
      <c r="D184" s="1">
        <v>12444</v>
      </c>
      <c r="E184" s="1">
        <v>22694</v>
      </c>
      <c r="F184" s="43" t="str">
        <f>VLOOKUP(Orders[[#This Row],[Product ID]],Products!A:B,2,0)</f>
        <v xml:space="preserve">Wicker Star </v>
      </c>
      <c r="G184" s="1">
        <v>6</v>
      </c>
      <c r="H184" s="18">
        <v>2.1</v>
      </c>
      <c r="I184" s="18">
        <v>12.600000000000001</v>
      </c>
    </row>
    <row r="185" spans="1:9" x14ac:dyDescent="0.3">
      <c r="A185" s="1">
        <v>577316</v>
      </c>
      <c r="B185" s="2">
        <v>43787</v>
      </c>
      <c r="C185" t="s">
        <v>10</v>
      </c>
      <c r="D185" s="1">
        <v>12578</v>
      </c>
      <c r="E185" s="1">
        <v>21888</v>
      </c>
      <c r="F185" s="43" t="str">
        <f>VLOOKUP(Orders[[#This Row],[Product ID]],Products!A:B,2,0)</f>
        <v>Bingo Set</v>
      </c>
      <c r="G185" s="1">
        <v>4</v>
      </c>
      <c r="H185" s="18">
        <v>3.75</v>
      </c>
      <c r="I185" s="18">
        <v>15</v>
      </c>
    </row>
    <row r="186" spans="1:9" x14ac:dyDescent="0.3">
      <c r="A186" s="1">
        <v>577476</v>
      </c>
      <c r="B186" s="2">
        <v>43789</v>
      </c>
      <c r="C186" t="s">
        <v>8</v>
      </c>
      <c r="D186" s="1">
        <v>12540</v>
      </c>
      <c r="E186" s="1">
        <v>21116</v>
      </c>
      <c r="F186" s="43" t="str">
        <f>VLOOKUP(Orders[[#This Row],[Product ID]],Products!A:B,2,0)</f>
        <v>Owl Doorstop</v>
      </c>
      <c r="G186" s="1">
        <v>6</v>
      </c>
      <c r="H186" s="18">
        <v>4.95</v>
      </c>
      <c r="I186" s="18">
        <v>29.700000000000003</v>
      </c>
    </row>
    <row r="187" spans="1:9" x14ac:dyDescent="0.3">
      <c r="A187" s="1">
        <v>577476</v>
      </c>
      <c r="B187" s="2">
        <v>43789</v>
      </c>
      <c r="C187" t="s">
        <v>8</v>
      </c>
      <c r="D187" s="1">
        <v>12540</v>
      </c>
      <c r="E187" s="1">
        <v>22741</v>
      </c>
      <c r="F187" s="43" t="str">
        <f>VLOOKUP(Orders[[#This Row],[Product ID]],Products!A:B,2,0)</f>
        <v>Funky Diva Pen</v>
      </c>
      <c r="G187" s="1">
        <v>48</v>
      </c>
      <c r="H187" s="18">
        <v>0.85</v>
      </c>
      <c r="I187" s="18">
        <v>40.799999999999997</v>
      </c>
    </row>
    <row r="188" spans="1:9" x14ac:dyDescent="0.3">
      <c r="A188" s="1">
        <v>577938</v>
      </c>
      <c r="B188" s="2">
        <v>43791</v>
      </c>
      <c r="C188" t="s">
        <v>2</v>
      </c>
      <c r="D188" s="1">
        <v>15525</v>
      </c>
      <c r="E188" s="1">
        <v>22197</v>
      </c>
      <c r="F188" s="43" t="str">
        <f>VLOOKUP(Orders[[#This Row],[Product ID]],Products!A:B,2,0)</f>
        <v>Popcorn Holder</v>
      </c>
      <c r="G188" s="1">
        <v>2</v>
      </c>
      <c r="H188" s="18">
        <v>0.85</v>
      </c>
      <c r="I188" s="18">
        <v>1.7</v>
      </c>
    </row>
    <row r="189" spans="1:9" x14ac:dyDescent="0.3">
      <c r="A189" s="1">
        <v>578108</v>
      </c>
      <c r="B189" s="2">
        <v>43792</v>
      </c>
      <c r="C189" t="s">
        <v>10</v>
      </c>
      <c r="D189" s="1">
        <v>14912</v>
      </c>
      <c r="E189" s="1">
        <v>22197</v>
      </c>
      <c r="F189" s="43" t="str">
        <f>VLOOKUP(Orders[[#This Row],[Product ID]],Products!A:B,2,0)</f>
        <v>Popcorn Holder</v>
      </c>
      <c r="G189" s="1">
        <v>100</v>
      </c>
      <c r="H189" s="18">
        <v>0.72</v>
      </c>
      <c r="I189" s="18">
        <v>72</v>
      </c>
    </row>
    <row r="190" spans="1:9" x14ac:dyDescent="0.3">
      <c r="A190" s="1">
        <v>578147</v>
      </c>
      <c r="B190" s="2">
        <v>43792</v>
      </c>
      <c r="C190" t="s">
        <v>2</v>
      </c>
      <c r="D190" s="1">
        <v>12748</v>
      </c>
      <c r="E190" s="1">
        <v>22197</v>
      </c>
      <c r="F190" s="43" t="str">
        <f>VLOOKUP(Orders[[#This Row],[Product ID]],Products!A:B,2,0)</f>
        <v>Popcorn Holder</v>
      </c>
      <c r="G190" s="1">
        <v>4</v>
      </c>
      <c r="H190" s="18">
        <v>0.85</v>
      </c>
      <c r="I190" s="18">
        <v>3.4</v>
      </c>
    </row>
    <row r="191" spans="1:9" x14ac:dyDescent="0.3">
      <c r="A191" s="1">
        <v>578781</v>
      </c>
      <c r="B191" s="2">
        <v>43794</v>
      </c>
      <c r="C191" t="s">
        <v>2</v>
      </c>
      <c r="D191" s="1">
        <v>15872</v>
      </c>
      <c r="E191" s="1">
        <v>62018</v>
      </c>
      <c r="F191" s="43" t="str">
        <f>VLOOKUP(Orders[[#This Row],[Product ID]],Products!A:B,2,0)</f>
        <v xml:space="preserve">Sombrero </v>
      </c>
      <c r="G191" s="1">
        <v>1</v>
      </c>
      <c r="H191" s="18">
        <v>1.95</v>
      </c>
      <c r="I191" s="18">
        <v>1.95</v>
      </c>
    </row>
    <row r="192" spans="1:9" x14ac:dyDescent="0.3">
      <c r="A192" s="1">
        <v>578949</v>
      </c>
      <c r="B192" s="2">
        <v>43796</v>
      </c>
      <c r="C192" t="s">
        <v>2</v>
      </c>
      <c r="D192" s="1">
        <v>14954</v>
      </c>
      <c r="E192" s="1">
        <v>21260</v>
      </c>
      <c r="F192" s="43" t="str">
        <f>VLOOKUP(Orders[[#This Row],[Product ID]],Products!A:B,2,0)</f>
        <v>First Aid Tin</v>
      </c>
      <c r="G192" s="1">
        <v>1</v>
      </c>
      <c r="H192" s="18">
        <v>3.25</v>
      </c>
      <c r="I192" s="18">
        <v>3.25</v>
      </c>
    </row>
    <row r="193" spans="1:9" x14ac:dyDescent="0.3">
      <c r="A193" s="1">
        <v>579135</v>
      </c>
      <c r="B193" s="2">
        <v>43797</v>
      </c>
      <c r="C193" t="s">
        <v>2</v>
      </c>
      <c r="D193" s="1">
        <v>18096</v>
      </c>
      <c r="E193" s="1">
        <v>22197</v>
      </c>
      <c r="F193" s="43" t="str">
        <f>VLOOKUP(Orders[[#This Row],[Product ID]],Products!A:B,2,0)</f>
        <v>Popcorn Holder</v>
      </c>
      <c r="G193" s="1">
        <v>20</v>
      </c>
      <c r="H193" s="18">
        <v>0.85</v>
      </c>
      <c r="I193" s="18">
        <v>17</v>
      </c>
    </row>
    <row r="194" spans="1:9" x14ac:dyDescent="0.3">
      <c r="A194" s="1">
        <v>579503</v>
      </c>
      <c r="B194" s="2">
        <v>43798</v>
      </c>
      <c r="C194" t="s">
        <v>8</v>
      </c>
      <c r="D194" s="1">
        <v>17097</v>
      </c>
      <c r="E194" s="1">
        <v>20713</v>
      </c>
      <c r="F194" s="43" t="str">
        <f>VLOOKUP(Orders[[#This Row],[Product ID]],Products!A:B,2,0)</f>
        <v>Jumbo Bag Owls</v>
      </c>
      <c r="G194" s="1">
        <v>1</v>
      </c>
      <c r="H194" s="18">
        <v>2.08</v>
      </c>
      <c r="I194" s="18">
        <v>2.08</v>
      </c>
    </row>
    <row r="195" spans="1:9" x14ac:dyDescent="0.3">
      <c r="A195" s="1">
        <v>579692</v>
      </c>
      <c r="B195" s="2">
        <v>43799</v>
      </c>
      <c r="C195" t="s">
        <v>6</v>
      </c>
      <c r="D195" s="1">
        <v>12433</v>
      </c>
      <c r="E195" s="1">
        <v>22197</v>
      </c>
      <c r="F195" s="43" t="str">
        <f>VLOOKUP(Orders[[#This Row],[Product ID]],Products!A:B,2,0)</f>
        <v>Popcorn Holder</v>
      </c>
      <c r="G195" s="1">
        <v>100</v>
      </c>
      <c r="H195" s="18">
        <v>0.72</v>
      </c>
      <c r="I195" s="18">
        <v>72</v>
      </c>
    </row>
    <row r="196" spans="1:9" x14ac:dyDescent="0.3">
      <c r="A196" s="1">
        <v>580265</v>
      </c>
      <c r="B196" s="2">
        <v>43801</v>
      </c>
      <c r="C196" t="s">
        <v>14</v>
      </c>
      <c r="D196" s="1">
        <v>12587</v>
      </c>
      <c r="E196" s="1">
        <v>20713</v>
      </c>
      <c r="F196" s="43" t="str">
        <f>VLOOKUP(Orders[[#This Row],[Product ID]],Products!A:B,2,0)</f>
        <v>Jumbo Bag Owls</v>
      </c>
      <c r="G196" s="1">
        <v>10</v>
      </c>
      <c r="H196" s="18">
        <v>2.08</v>
      </c>
      <c r="I196" s="18">
        <v>20.8</v>
      </c>
    </row>
    <row r="197" spans="1:9" x14ac:dyDescent="0.3">
      <c r="A197" s="1">
        <v>580998</v>
      </c>
      <c r="B197" s="2">
        <v>43805</v>
      </c>
      <c r="C197" t="s">
        <v>2</v>
      </c>
      <c r="D197" s="1">
        <v>16987</v>
      </c>
      <c r="E197" s="1">
        <v>22694</v>
      </c>
      <c r="F197" s="43" t="str">
        <f>VLOOKUP(Orders[[#This Row],[Product ID]],Products!A:B,2,0)</f>
        <v xml:space="preserve">Wicker Star </v>
      </c>
      <c r="G197" s="1">
        <v>2</v>
      </c>
      <c r="H197" s="18">
        <v>2.1</v>
      </c>
      <c r="I197" s="18">
        <v>4.2</v>
      </c>
    </row>
    <row r="198" spans="1:9" x14ac:dyDescent="0.3">
      <c r="A198" s="1">
        <v>581246</v>
      </c>
      <c r="B198" s="2">
        <v>43807</v>
      </c>
      <c r="C198" t="s">
        <v>2</v>
      </c>
      <c r="D198" s="1">
        <v>15453</v>
      </c>
      <c r="E198" s="1">
        <v>22694</v>
      </c>
      <c r="F198" s="43" t="str">
        <f>VLOOKUP(Orders[[#This Row],[Product ID]],Products!A:B,2,0)</f>
        <v xml:space="preserve">Wicker Star </v>
      </c>
      <c r="G198" s="1">
        <v>1</v>
      </c>
      <c r="H198" s="18">
        <v>2.1</v>
      </c>
      <c r="I198" s="18">
        <v>2.1</v>
      </c>
    </row>
    <row r="199" spans="1:9" x14ac:dyDescent="0.3">
      <c r="A199" s="1">
        <v>581253</v>
      </c>
      <c r="B199" s="2">
        <v>43807</v>
      </c>
      <c r="C199" t="s">
        <v>2</v>
      </c>
      <c r="D199" s="1">
        <v>16891</v>
      </c>
      <c r="E199" s="1">
        <v>22694</v>
      </c>
      <c r="F199" s="43" t="str">
        <f>VLOOKUP(Orders[[#This Row],[Product ID]],Products!A:B,2,0)</f>
        <v xml:space="preserve">Wicker Star </v>
      </c>
      <c r="G199" s="1">
        <v>4</v>
      </c>
      <c r="H199" s="18">
        <v>2.1</v>
      </c>
      <c r="I199" s="18">
        <v>8.4</v>
      </c>
    </row>
    <row r="200" spans="1:9" x14ac:dyDescent="0.3">
      <c r="A200" s="1">
        <v>581412</v>
      </c>
      <c r="B200" s="2">
        <v>43807</v>
      </c>
      <c r="C200" t="s">
        <v>2</v>
      </c>
      <c r="D200" s="1">
        <v>14415</v>
      </c>
      <c r="E200" s="1">
        <v>20713</v>
      </c>
      <c r="F200" s="43" t="str">
        <f>VLOOKUP(Orders[[#This Row],[Product ID]],Products!A:B,2,0)</f>
        <v>Jumbo Bag Owls</v>
      </c>
      <c r="G200" s="1">
        <v>5</v>
      </c>
      <c r="H200" s="18">
        <v>2.08</v>
      </c>
      <c r="I200" s="18">
        <v>10.4</v>
      </c>
    </row>
    <row r="201" spans="1:9" x14ac:dyDescent="0.3">
      <c r="A201" s="1">
        <v>581476</v>
      </c>
      <c r="B201" s="2">
        <v>43808</v>
      </c>
      <c r="C201" t="s">
        <v>6</v>
      </c>
      <c r="D201" s="1">
        <v>12433</v>
      </c>
      <c r="E201" s="1">
        <v>22197</v>
      </c>
      <c r="F201" s="43" t="str">
        <f>VLOOKUP(Orders[[#This Row],[Product ID]],Products!A:B,2,0)</f>
        <v>Popcorn Holder</v>
      </c>
      <c r="G201" s="1">
        <v>100</v>
      </c>
      <c r="H201" s="18">
        <v>0.72</v>
      </c>
      <c r="I201" s="18">
        <v>72</v>
      </c>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'Countries'!$A$2:$A$15</xm:f>
          </x14:formula1>
          <xm:sqref>K2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sheetPr>
  <dimension ref="A1:B15"/>
  <sheetViews>
    <sheetView workbookViewId="0">
      <selection sqref="A1:B15"/>
    </sheetView>
  </sheetViews>
  <sheetFormatPr defaultRowHeight="14.4" x14ac:dyDescent="0.3"/>
  <cols>
    <col min="1" max="1" width="12.88671875" customWidth="1"/>
    <col min="2" max="2" width="18.5546875" customWidth="1"/>
  </cols>
  <sheetData>
    <row r="1" spans="1:2" x14ac:dyDescent="0.3">
      <c r="A1" s="3" t="s">
        <v>17</v>
      </c>
      <c r="B1" s="3" t="s">
        <v>18</v>
      </c>
    </row>
    <row r="2" spans="1:2" x14ac:dyDescent="0.3">
      <c r="A2" s="1">
        <v>20713</v>
      </c>
      <c r="B2" t="s">
        <v>634</v>
      </c>
    </row>
    <row r="3" spans="1:2" x14ac:dyDescent="0.3">
      <c r="A3" s="1">
        <v>21025</v>
      </c>
      <c r="B3" t="s">
        <v>635</v>
      </c>
    </row>
    <row r="4" spans="1:2" x14ac:dyDescent="0.3">
      <c r="A4" s="1">
        <v>21116</v>
      </c>
      <c r="B4" t="s">
        <v>636</v>
      </c>
    </row>
    <row r="5" spans="1:2" x14ac:dyDescent="0.3">
      <c r="A5" s="1">
        <v>21260</v>
      </c>
      <c r="B5" t="s">
        <v>637</v>
      </c>
    </row>
    <row r="6" spans="1:2" x14ac:dyDescent="0.3">
      <c r="A6" s="1">
        <v>21888</v>
      </c>
      <c r="B6" t="s">
        <v>638</v>
      </c>
    </row>
    <row r="7" spans="1:2" x14ac:dyDescent="0.3">
      <c r="A7" s="1">
        <v>22174</v>
      </c>
      <c r="B7" t="s">
        <v>639</v>
      </c>
    </row>
    <row r="8" spans="1:2" x14ac:dyDescent="0.3">
      <c r="A8" s="1">
        <v>22190</v>
      </c>
      <c r="B8" t="s">
        <v>640</v>
      </c>
    </row>
    <row r="9" spans="1:2" x14ac:dyDescent="0.3">
      <c r="A9" s="1">
        <v>22197</v>
      </c>
      <c r="B9" t="s">
        <v>641</v>
      </c>
    </row>
    <row r="10" spans="1:2" x14ac:dyDescent="0.3">
      <c r="A10" s="1">
        <v>22653</v>
      </c>
      <c r="B10" t="s">
        <v>642</v>
      </c>
    </row>
    <row r="11" spans="1:2" x14ac:dyDescent="0.3">
      <c r="A11" s="1">
        <v>22694</v>
      </c>
      <c r="B11" t="s">
        <v>643</v>
      </c>
    </row>
    <row r="12" spans="1:2" x14ac:dyDescent="0.3">
      <c r="A12" s="1">
        <v>22740</v>
      </c>
      <c r="B12" t="s">
        <v>644</v>
      </c>
    </row>
    <row r="13" spans="1:2" x14ac:dyDescent="0.3">
      <c r="A13" s="1">
        <v>22741</v>
      </c>
      <c r="B13" t="s">
        <v>645</v>
      </c>
    </row>
    <row r="14" spans="1:2" x14ac:dyDescent="0.3">
      <c r="A14" s="1">
        <v>23417</v>
      </c>
      <c r="B14" t="s">
        <v>646</v>
      </c>
    </row>
    <row r="15" spans="1:2" x14ac:dyDescent="0.3">
      <c r="A15" s="1">
        <v>62018</v>
      </c>
      <c r="B15" t="s">
        <v>647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B15"/>
  <sheetViews>
    <sheetView workbookViewId="0">
      <selection activeCell="N14" sqref="N14"/>
    </sheetView>
  </sheetViews>
  <sheetFormatPr defaultRowHeight="14.4" x14ac:dyDescent="0.3"/>
  <cols>
    <col min="1" max="1" width="17.109375" customWidth="1"/>
  </cols>
  <sheetData>
    <row r="1" spans="1:2" x14ac:dyDescent="0.3">
      <c r="A1" s="3" t="s">
        <v>0</v>
      </c>
      <c r="B1" s="3" t="s">
        <v>22</v>
      </c>
    </row>
    <row r="2" spans="1:2" x14ac:dyDescent="0.3">
      <c r="A2" t="s">
        <v>15</v>
      </c>
      <c r="B2" s="1">
        <v>2</v>
      </c>
    </row>
    <row r="3" spans="1:2" x14ac:dyDescent="0.3">
      <c r="A3" t="s">
        <v>11</v>
      </c>
      <c r="B3" s="1">
        <v>12</v>
      </c>
    </row>
    <row r="4" spans="1:2" x14ac:dyDescent="0.3">
      <c r="A4" t="s">
        <v>12</v>
      </c>
      <c r="B4" s="1">
        <v>2</v>
      </c>
    </row>
    <row r="5" spans="1:2" x14ac:dyDescent="0.3">
      <c r="A5" t="s">
        <v>14</v>
      </c>
      <c r="B5" s="1">
        <v>3</v>
      </c>
    </row>
    <row r="6" spans="1:2" x14ac:dyDescent="0.3">
      <c r="A6" t="s">
        <v>3</v>
      </c>
      <c r="B6" s="1">
        <v>32</v>
      </c>
    </row>
    <row r="7" spans="1:2" x14ac:dyDescent="0.3">
      <c r="A7" t="s">
        <v>5</v>
      </c>
      <c r="B7" s="1">
        <v>44</v>
      </c>
    </row>
    <row r="8" spans="1:2" x14ac:dyDescent="0.3">
      <c r="A8" t="s">
        <v>10</v>
      </c>
      <c r="B8" s="1">
        <v>7</v>
      </c>
    </row>
    <row r="9" spans="1:2" x14ac:dyDescent="0.3">
      <c r="A9" t="s">
        <v>4</v>
      </c>
      <c r="B9" s="1">
        <v>12</v>
      </c>
    </row>
    <row r="10" spans="1:2" x14ac:dyDescent="0.3">
      <c r="A10" t="s">
        <v>6</v>
      </c>
      <c r="B10" s="1">
        <v>4</v>
      </c>
    </row>
    <row r="11" spans="1:2" x14ac:dyDescent="0.3">
      <c r="A11" t="s">
        <v>9</v>
      </c>
      <c r="B11" s="1">
        <v>9</v>
      </c>
    </row>
    <row r="12" spans="1:2" x14ac:dyDescent="0.3">
      <c r="A12" t="s">
        <v>8</v>
      </c>
      <c r="B12" s="1">
        <v>14</v>
      </c>
    </row>
    <row r="13" spans="1:2" x14ac:dyDescent="0.3">
      <c r="A13" t="s">
        <v>13</v>
      </c>
      <c r="B13" s="1">
        <v>4</v>
      </c>
    </row>
    <row r="14" spans="1:2" x14ac:dyDescent="0.3">
      <c r="A14" t="s">
        <v>7</v>
      </c>
      <c r="B14" s="1">
        <v>7</v>
      </c>
    </row>
    <row r="15" spans="1:2" x14ac:dyDescent="0.3">
      <c r="A15" t="s">
        <v>2</v>
      </c>
      <c r="B15" s="1">
        <v>48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59999389629810485"/>
  </sheetPr>
  <dimension ref="A1:F5"/>
  <sheetViews>
    <sheetView workbookViewId="0">
      <selection activeCell="F10" sqref="F10"/>
    </sheetView>
  </sheetViews>
  <sheetFormatPr defaultRowHeight="14.4" x14ac:dyDescent="0.3"/>
  <cols>
    <col min="1" max="1" width="20" customWidth="1"/>
    <col min="2" max="2" width="11.44140625" customWidth="1"/>
    <col min="4" max="4" width="12.109375" bestFit="1" customWidth="1"/>
    <col min="6" max="6" width="12.109375" bestFit="1" customWidth="1"/>
  </cols>
  <sheetData>
    <row r="1" spans="1:6" x14ac:dyDescent="0.3">
      <c r="A1" s="46" t="s">
        <v>23</v>
      </c>
      <c r="B1" s="46"/>
    </row>
    <row r="2" spans="1:6" x14ac:dyDescent="0.3">
      <c r="A2" s="4" t="s">
        <v>24</v>
      </c>
      <c r="B2" s="6">
        <v>250000</v>
      </c>
    </row>
    <row r="3" spans="1:6" x14ac:dyDescent="0.3">
      <c r="A3" s="4" t="s">
        <v>25</v>
      </c>
      <c r="B3" s="5">
        <v>4.4999999999999998E-2</v>
      </c>
    </row>
    <row r="4" spans="1:6" x14ac:dyDescent="0.3">
      <c r="A4" s="7" t="s">
        <v>26</v>
      </c>
      <c r="B4" s="8">
        <v>30</v>
      </c>
      <c r="D4" s="45"/>
      <c r="F4" s="45"/>
    </row>
    <row r="5" spans="1:6" x14ac:dyDescent="0.3">
      <c r="A5" s="9" t="s">
        <v>27</v>
      </c>
      <c r="B5" s="10">
        <f>PMT(B3/12,B4*12,B2,,1)</f>
        <v>-1261.9808463907364</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59999389629810485"/>
  </sheetPr>
  <dimension ref="A1:B14"/>
  <sheetViews>
    <sheetView topLeftCell="A2" zoomScaleNormal="100" workbookViewId="0">
      <selection activeCell="G25" sqref="G25"/>
    </sheetView>
  </sheetViews>
  <sheetFormatPr defaultRowHeight="14.4" x14ac:dyDescent="0.3"/>
  <cols>
    <col min="1" max="1" width="11.33203125" bestFit="1" customWidth="1"/>
    <col min="2" max="2" width="15.5546875" bestFit="1" customWidth="1"/>
  </cols>
  <sheetData>
    <row r="1" spans="1:2" x14ac:dyDescent="0.3">
      <c r="A1" s="11" t="s">
        <v>648</v>
      </c>
      <c r="B1" t="s">
        <v>41</v>
      </c>
    </row>
    <row r="2" spans="1:2" x14ac:dyDescent="0.3">
      <c r="A2" t="s">
        <v>29</v>
      </c>
      <c r="B2" s="6">
        <v>459.8</v>
      </c>
    </row>
    <row r="3" spans="1:2" x14ac:dyDescent="0.3">
      <c r="A3" t="s">
        <v>30</v>
      </c>
      <c r="B3" s="6">
        <v>1306.6499999999999</v>
      </c>
    </row>
    <row r="4" spans="1:2" x14ac:dyDescent="0.3">
      <c r="A4" t="s">
        <v>31</v>
      </c>
      <c r="B4" s="6">
        <v>299.10000000000002</v>
      </c>
    </row>
    <row r="5" spans="1:2" x14ac:dyDescent="0.3">
      <c r="A5" t="s">
        <v>32</v>
      </c>
      <c r="B5" s="6">
        <v>139.5</v>
      </c>
    </row>
    <row r="6" spans="1:2" x14ac:dyDescent="0.3">
      <c r="A6" t="s">
        <v>33</v>
      </c>
      <c r="B6" s="6">
        <v>202.1</v>
      </c>
    </row>
    <row r="7" spans="1:2" x14ac:dyDescent="0.3">
      <c r="A7" t="s">
        <v>34</v>
      </c>
      <c r="B7" s="6">
        <v>1211.3999999999999</v>
      </c>
    </row>
    <row r="8" spans="1:2" x14ac:dyDescent="0.3">
      <c r="A8" t="s">
        <v>35</v>
      </c>
      <c r="B8" s="6">
        <v>518.65000000000009</v>
      </c>
    </row>
    <row r="9" spans="1:2" x14ac:dyDescent="0.3">
      <c r="A9" t="s">
        <v>36</v>
      </c>
      <c r="B9" s="6">
        <v>574.15000000000009</v>
      </c>
    </row>
    <row r="10" spans="1:2" x14ac:dyDescent="0.3">
      <c r="A10" t="s">
        <v>37</v>
      </c>
      <c r="B10" s="6">
        <v>1161.72</v>
      </c>
    </row>
    <row r="11" spans="1:2" x14ac:dyDescent="0.3">
      <c r="A11" t="s">
        <v>38</v>
      </c>
      <c r="B11" s="6">
        <v>504.09000000000003</v>
      </c>
    </row>
    <row r="12" spans="1:2" x14ac:dyDescent="0.3">
      <c r="A12" t="s">
        <v>39</v>
      </c>
      <c r="B12" s="6">
        <v>678.42000000000007</v>
      </c>
    </row>
    <row r="13" spans="1:2" x14ac:dyDescent="0.3">
      <c r="A13" t="s">
        <v>40</v>
      </c>
      <c r="B13" s="6">
        <v>117.9</v>
      </c>
    </row>
    <row r="14" spans="1:2" x14ac:dyDescent="0.3">
      <c r="A14" t="s">
        <v>28</v>
      </c>
      <c r="B14" s="6">
        <v>7173.4799999999987</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F821-0C2E-4EBD-942B-050E10D714E5}">
  <sheetPr>
    <tabColor theme="5" tint="-0.249977111117893"/>
  </sheetPr>
  <dimension ref="A1"/>
  <sheetViews>
    <sheetView showGridLines="0" topLeftCell="A4" workbookViewId="0"/>
  </sheetViews>
  <sheetFormatPr defaultRowHeight="14.4" x14ac:dyDescent="0.3"/>
  <cols>
    <col min="1" max="1" width="2.88671875" customWidth="1"/>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8A77F-E240-4B6F-84DD-BD140F84A281}">
  <sheetPr>
    <tabColor theme="5" tint="0.59999389629810485"/>
  </sheetPr>
  <dimension ref="A1:E11"/>
  <sheetViews>
    <sheetView showGridLines="0" zoomScaleNormal="100" workbookViewId="0">
      <selection activeCell="C6" sqref="C6"/>
    </sheetView>
  </sheetViews>
  <sheetFormatPr defaultRowHeight="14.4" x14ac:dyDescent="0.3"/>
  <cols>
    <col min="3" max="3" width="28.5546875" customWidth="1"/>
  </cols>
  <sheetData>
    <row r="1" spans="1:5" ht="15.75" customHeight="1" x14ac:dyDescent="0.3"/>
    <row r="2" spans="1:5" ht="15.75" customHeight="1" x14ac:dyDescent="0.5">
      <c r="C2" s="47" t="s">
        <v>43</v>
      </c>
      <c r="D2" s="14"/>
      <c r="E2" s="14"/>
    </row>
    <row r="3" spans="1:5" ht="15.75" customHeight="1" x14ac:dyDescent="0.5">
      <c r="C3" s="47"/>
      <c r="D3" s="14"/>
      <c r="E3" s="14"/>
    </row>
    <row r="4" spans="1:5" ht="15.75" customHeight="1" thickBot="1" x14ac:dyDescent="0.55000000000000004">
      <c r="A4" s="15"/>
      <c r="B4" s="15"/>
      <c r="C4" s="48"/>
      <c r="D4" s="14"/>
      <c r="E4" s="14"/>
    </row>
    <row r="5" spans="1:5" ht="15.75" customHeight="1" thickBot="1" x14ac:dyDescent="0.35"/>
    <row r="6" spans="1:5" ht="15.75" customHeight="1" thickBot="1" x14ac:dyDescent="0.35">
      <c r="B6" s="4" t="s">
        <v>45</v>
      </c>
      <c r="C6" s="40" t="s">
        <v>106</v>
      </c>
    </row>
    <row r="7" spans="1:5" ht="15.75" customHeight="1" thickBot="1" x14ac:dyDescent="0.35"/>
    <row r="8" spans="1:5" ht="15.75" customHeight="1" thickBot="1" x14ac:dyDescent="0.35">
      <c r="B8" s="4" t="s">
        <v>137</v>
      </c>
      <c r="C8" s="16">
        <f>IFERROR(INDEX('Beer Prices'!$A$1:$E$31,MATCH('Team Selector'!$C$6,'Beer Prices'!$A$1:$A$31,0),MATCH('Team Selector'!$B8,'Beer Prices'!$A$1:$E$1,0)),"-")</f>
        <v>6</v>
      </c>
    </row>
    <row r="9" spans="1:5" ht="15.75" customHeight="1" thickBot="1" x14ac:dyDescent="0.35">
      <c r="B9" s="4" t="s">
        <v>136</v>
      </c>
      <c r="C9" s="20">
        <f>IFERROR(INDEX('Beer Prices'!$A$1:$E$31,MATCH('Team Selector'!$C$6,'Beer Prices'!$A$1:$A$31,0),MATCH('Team Selector'!$B9,'Beer Prices'!$A$1:$E$1,0)),"-")</f>
        <v>12</v>
      </c>
    </row>
    <row r="10" spans="1:5" ht="15.75" customHeight="1" thickBot="1" x14ac:dyDescent="0.35"/>
    <row r="11" spans="1:5" ht="15.75" customHeight="1" thickBot="1" x14ac:dyDescent="0.35">
      <c r="B11" s="4" t="s">
        <v>633</v>
      </c>
      <c r="C11" s="19">
        <f>IFERROR(C8/C9,"-")</f>
        <v>0.5</v>
      </c>
    </row>
  </sheetData>
  <mergeCells count="1">
    <mergeCell ref="C2:C4"/>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0297AFB-59E5-48E0-9EA8-F16CA3FD686E}">
          <x14:formula1>
            <xm:f>'Beer Prices'!$A:$A</xm:f>
          </x14:formula1>
          <xm:sqref>C6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CAAD-0F45-400A-AF28-A32F649A8BD1}">
  <sheetPr>
    <tabColor theme="5" tint="0.59999389629810485"/>
  </sheetPr>
  <dimension ref="A1:E31"/>
  <sheetViews>
    <sheetView workbookViewId="0">
      <selection activeCell="B1" sqref="B1:C1048576"/>
    </sheetView>
  </sheetViews>
  <sheetFormatPr defaultRowHeight="14.4" outlineLevelCol="1" x14ac:dyDescent="0.3"/>
  <cols>
    <col min="1" max="1" width="21.44140625" bestFit="1" customWidth="1"/>
    <col min="2" max="3" width="14.33203125" customWidth="1" outlineLevel="1"/>
    <col min="5" max="5" width="9.6640625" customWidth="1"/>
  </cols>
  <sheetData>
    <row r="1" spans="1:5" x14ac:dyDescent="0.3">
      <c r="A1" s="17" t="s">
        <v>45</v>
      </c>
      <c r="B1" s="17" t="s">
        <v>46</v>
      </c>
      <c r="C1" s="17" t="s">
        <v>47</v>
      </c>
      <c r="D1" s="17" t="s">
        <v>137</v>
      </c>
      <c r="E1" s="17" t="s">
        <v>136</v>
      </c>
    </row>
    <row r="2" spans="1:5" x14ac:dyDescent="0.3">
      <c r="A2" t="s">
        <v>48</v>
      </c>
      <c r="B2" t="s">
        <v>49</v>
      </c>
      <c r="C2" t="s">
        <v>50</v>
      </c>
      <c r="D2" s="18">
        <v>4</v>
      </c>
      <c r="E2" s="1">
        <v>14</v>
      </c>
    </row>
    <row r="3" spans="1:5" x14ac:dyDescent="0.3">
      <c r="A3" t="s">
        <v>51</v>
      </c>
      <c r="B3" t="s">
        <v>52</v>
      </c>
      <c r="C3" t="s">
        <v>53</v>
      </c>
      <c r="D3" s="18">
        <v>5</v>
      </c>
      <c r="E3" s="1">
        <v>12</v>
      </c>
    </row>
    <row r="4" spans="1:5" x14ac:dyDescent="0.3">
      <c r="A4" t="s">
        <v>54</v>
      </c>
      <c r="B4" t="s">
        <v>55</v>
      </c>
      <c r="C4" t="s">
        <v>56</v>
      </c>
      <c r="D4" s="18">
        <v>4</v>
      </c>
      <c r="E4" s="1">
        <v>12</v>
      </c>
    </row>
    <row r="5" spans="1:5" x14ac:dyDescent="0.3">
      <c r="A5" t="s">
        <v>57</v>
      </c>
      <c r="B5" t="s">
        <v>58</v>
      </c>
      <c r="C5" t="s">
        <v>59</v>
      </c>
      <c r="D5" s="18">
        <v>8</v>
      </c>
      <c r="E5" s="1">
        <v>12</v>
      </c>
    </row>
    <row r="6" spans="1:5" x14ac:dyDescent="0.3">
      <c r="A6" t="s">
        <v>60</v>
      </c>
      <c r="B6" t="s">
        <v>61</v>
      </c>
      <c r="C6" t="s">
        <v>62</v>
      </c>
      <c r="D6" s="18">
        <v>9</v>
      </c>
      <c r="E6" s="1">
        <v>20</v>
      </c>
    </row>
    <row r="7" spans="1:5" x14ac:dyDescent="0.3">
      <c r="A7" t="s">
        <v>63</v>
      </c>
      <c r="B7" t="s">
        <v>64</v>
      </c>
      <c r="C7" t="s">
        <v>62</v>
      </c>
      <c r="D7" s="18">
        <v>7</v>
      </c>
      <c r="E7" s="1">
        <v>16</v>
      </c>
    </row>
    <row r="8" spans="1:5" x14ac:dyDescent="0.3">
      <c r="A8" t="s">
        <v>65</v>
      </c>
      <c r="B8" t="s">
        <v>66</v>
      </c>
      <c r="C8" t="s">
        <v>67</v>
      </c>
      <c r="D8" s="18">
        <v>6.25</v>
      </c>
      <c r="E8" s="1">
        <v>14</v>
      </c>
    </row>
    <row r="9" spans="1:5" x14ac:dyDescent="0.3">
      <c r="A9" t="s">
        <v>68</v>
      </c>
      <c r="B9" t="s">
        <v>69</v>
      </c>
      <c r="C9" t="s">
        <v>70</v>
      </c>
      <c r="D9" s="18">
        <v>5</v>
      </c>
      <c r="E9" s="1">
        <v>12</v>
      </c>
    </row>
    <row r="10" spans="1:5" x14ac:dyDescent="0.3">
      <c r="A10" t="s">
        <v>71</v>
      </c>
      <c r="B10" t="s">
        <v>72</v>
      </c>
      <c r="C10" t="s">
        <v>73</v>
      </c>
      <c r="D10" s="18">
        <v>3</v>
      </c>
      <c r="E10" s="1">
        <v>12</v>
      </c>
    </row>
    <row r="11" spans="1:5" x14ac:dyDescent="0.3">
      <c r="A11" t="s">
        <v>74</v>
      </c>
      <c r="B11" t="s">
        <v>75</v>
      </c>
      <c r="C11" t="s">
        <v>76</v>
      </c>
      <c r="D11" s="18">
        <v>5</v>
      </c>
      <c r="E11" s="1">
        <v>12</v>
      </c>
    </row>
    <row r="12" spans="1:5" x14ac:dyDescent="0.3">
      <c r="A12" t="s">
        <v>77</v>
      </c>
      <c r="B12" t="s">
        <v>78</v>
      </c>
      <c r="C12" t="s">
        <v>79</v>
      </c>
      <c r="D12" s="18">
        <v>6</v>
      </c>
      <c r="E12" s="1">
        <v>14</v>
      </c>
    </row>
    <row r="13" spans="1:5" x14ac:dyDescent="0.3">
      <c r="A13" t="s">
        <v>80</v>
      </c>
      <c r="B13" t="s">
        <v>81</v>
      </c>
      <c r="C13" t="s">
        <v>82</v>
      </c>
      <c r="D13" s="18">
        <v>4</v>
      </c>
      <c r="E13" s="1">
        <v>12</v>
      </c>
    </row>
    <row r="14" spans="1:5" x14ac:dyDescent="0.3">
      <c r="A14" t="s">
        <v>83</v>
      </c>
      <c r="B14" t="s">
        <v>84</v>
      </c>
      <c r="C14" t="s">
        <v>85</v>
      </c>
      <c r="D14" s="18">
        <v>4.5</v>
      </c>
      <c r="E14" s="1">
        <v>12</v>
      </c>
    </row>
    <row r="15" spans="1:5" x14ac:dyDescent="0.3">
      <c r="A15" t="s">
        <v>86</v>
      </c>
      <c r="B15" t="s">
        <v>87</v>
      </c>
      <c r="C15" t="s">
        <v>88</v>
      </c>
      <c r="D15" s="18">
        <v>6.25</v>
      </c>
      <c r="E15" s="1">
        <v>16</v>
      </c>
    </row>
    <row r="16" spans="1:5" x14ac:dyDescent="0.3">
      <c r="A16" t="s">
        <v>89</v>
      </c>
      <c r="B16" t="s">
        <v>90</v>
      </c>
      <c r="C16" t="s">
        <v>91</v>
      </c>
      <c r="D16" s="18">
        <v>6</v>
      </c>
      <c r="E16" s="1">
        <v>12</v>
      </c>
    </row>
    <row r="17" spans="1:5" x14ac:dyDescent="0.3">
      <c r="A17" t="s">
        <v>92</v>
      </c>
      <c r="B17" t="s">
        <v>93</v>
      </c>
      <c r="C17" t="s">
        <v>94</v>
      </c>
      <c r="D17" s="18">
        <v>7</v>
      </c>
      <c r="E17" s="1">
        <v>16</v>
      </c>
    </row>
    <row r="18" spans="1:5" x14ac:dyDescent="0.3">
      <c r="A18" t="s">
        <v>95</v>
      </c>
      <c r="B18" t="s">
        <v>96</v>
      </c>
      <c r="C18" t="s">
        <v>97</v>
      </c>
      <c r="D18" s="18">
        <v>8.5</v>
      </c>
      <c r="E18" s="1">
        <v>20</v>
      </c>
    </row>
    <row r="19" spans="1:5" x14ac:dyDescent="0.3">
      <c r="A19" t="s">
        <v>98</v>
      </c>
      <c r="B19" t="s">
        <v>99</v>
      </c>
      <c r="C19" t="s">
        <v>100</v>
      </c>
      <c r="D19" s="18">
        <v>10.5</v>
      </c>
      <c r="E19" s="1">
        <v>20</v>
      </c>
    </row>
    <row r="20" spans="1:5" x14ac:dyDescent="0.3">
      <c r="A20" t="s">
        <v>101</v>
      </c>
      <c r="B20" t="s">
        <v>102</v>
      </c>
      <c r="C20" t="s">
        <v>100</v>
      </c>
      <c r="D20" s="18">
        <v>6</v>
      </c>
      <c r="E20" s="1">
        <v>12</v>
      </c>
    </row>
    <row r="21" spans="1:5" x14ac:dyDescent="0.3">
      <c r="A21" t="s">
        <v>103</v>
      </c>
      <c r="B21" t="s">
        <v>104</v>
      </c>
      <c r="C21" t="s">
        <v>105</v>
      </c>
      <c r="D21" s="18">
        <v>5.5</v>
      </c>
      <c r="E21" s="1">
        <v>12</v>
      </c>
    </row>
    <row r="22" spans="1:5" x14ac:dyDescent="0.3">
      <c r="A22" t="s">
        <v>106</v>
      </c>
      <c r="B22" t="s">
        <v>107</v>
      </c>
      <c r="C22" t="s">
        <v>108</v>
      </c>
      <c r="D22" s="18">
        <v>6</v>
      </c>
      <c r="E22" s="1">
        <v>12</v>
      </c>
    </row>
    <row r="23" spans="1:5" x14ac:dyDescent="0.3">
      <c r="A23" t="s">
        <v>109</v>
      </c>
      <c r="B23" t="s">
        <v>110</v>
      </c>
      <c r="C23" t="s">
        <v>111</v>
      </c>
      <c r="D23" s="18">
        <v>6</v>
      </c>
      <c r="E23" s="1">
        <v>16</v>
      </c>
    </row>
    <row r="24" spans="1:5" x14ac:dyDescent="0.3">
      <c r="A24" t="s">
        <v>112</v>
      </c>
      <c r="B24" t="s">
        <v>113</v>
      </c>
      <c r="C24" t="s">
        <v>114</v>
      </c>
      <c r="D24" s="18">
        <v>5</v>
      </c>
      <c r="E24" s="1">
        <v>12</v>
      </c>
    </row>
    <row r="25" spans="1:5" x14ac:dyDescent="0.3">
      <c r="A25" t="s">
        <v>115</v>
      </c>
      <c r="B25" t="s">
        <v>116</v>
      </c>
      <c r="C25" t="s">
        <v>117</v>
      </c>
      <c r="D25" s="18">
        <v>8.25</v>
      </c>
      <c r="E25" s="1">
        <v>14</v>
      </c>
    </row>
    <row r="26" spans="1:5" x14ac:dyDescent="0.3">
      <c r="A26" t="s">
        <v>118</v>
      </c>
      <c r="B26" t="s">
        <v>119</v>
      </c>
      <c r="C26" t="s">
        <v>120</v>
      </c>
      <c r="D26" s="18">
        <v>5</v>
      </c>
      <c r="E26" s="1">
        <v>12</v>
      </c>
    </row>
    <row r="27" spans="1:5" x14ac:dyDescent="0.3">
      <c r="A27" t="s">
        <v>121</v>
      </c>
      <c r="B27" t="s">
        <v>122</v>
      </c>
      <c r="C27" t="s">
        <v>123</v>
      </c>
      <c r="D27" s="18">
        <v>5</v>
      </c>
      <c r="E27" s="1">
        <v>12</v>
      </c>
    </row>
    <row r="28" spans="1:5" x14ac:dyDescent="0.3">
      <c r="A28" t="s">
        <v>124</v>
      </c>
      <c r="B28" t="s">
        <v>125</v>
      </c>
      <c r="C28" t="s">
        <v>126</v>
      </c>
      <c r="D28" s="18">
        <v>5</v>
      </c>
      <c r="E28" s="1">
        <v>12</v>
      </c>
    </row>
    <row r="29" spans="1:5" x14ac:dyDescent="0.3">
      <c r="A29" t="s">
        <v>127</v>
      </c>
      <c r="B29" t="s">
        <v>128</v>
      </c>
      <c r="C29" t="s">
        <v>129</v>
      </c>
      <c r="D29" s="18">
        <v>6</v>
      </c>
      <c r="E29" s="1">
        <v>16</v>
      </c>
    </row>
    <row r="30" spans="1:5" x14ac:dyDescent="0.3">
      <c r="A30" t="s">
        <v>130</v>
      </c>
      <c r="B30" t="s">
        <v>131</v>
      </c>
      <c r="C30" t="s">
        <v>132</v>
      </c>
      <c r="D30" s="18">
        <v>5.67</v>
      </c>
      <c r="E30" s="1">
        <v>14</v>
      </c>
    </row>
    <row r="31" spans="1:5" x14ac:dyDescent="0.3">
      <c r="A31" t="s">
        <v>133</v>
      </c>
      <c r="B31" t="s">
        <v>134</v>
      </c>
      <c r="C31" t="s">
        <v>135</v>
      </c>
      <c r="D31" s="18">
        <v>7</v>
      </c>
      <c r="E31" s="1">
        <v>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37877-E444-4725-9857-A307A1D29154}">
  <sheetPr>
    <tabColor theme="5" tint="0.59999389629810485"/>
  </sheetPr>
  <dimension ref="A1:G31"/>
  <sheetViews>
    <sheetView workbookViewId="0">
      <selection activeCell="H10" sqref="H10"/>
    </sheetView>
  </sheetViews>
  <sheetFormatPr defaultRowHeight="14.4" x14ac:dyDescent="0.3"/>
  <cols>
    <col min="1" max="1" width="21.44140625" bestFit="1" customWidth="1"/>
    <col min="7" max="7" width="11.44140625" customWidth="1"/>
  </cols>
  <sheetData>
    <row r="1" spans="1:7" x14ac:dyDescent="0.3">
      <c r="A1" s="17" t="s">
        <v>45</v>
      </c>
      <c r="B1" s="17" t="s">
        <v>138</v>
      </c>
      <c r="C1" s="17" t="s">
        <v>139</v>
      </c>
      <c r="D1" s="17" t="s">
        <v>140</v>
      </c>
      <c r="E1" s="17" t="s">
        <v>141</v>
      </c>
      <c r="F1" s="17" t="s">
        <v>142</v>
      </c>
      <c r="G1" s="17" t="s">
        <v>143</v>
      </c>
    </row>
    <row r="2" spans="1:7" x14ac:dyDescent="0.3">
      <c r="A2" t="s">
        <v>48</v>
      </c>
      <c r="B2" s="18">
        <v>0.28999999999999998</v>
      </c>
      <c r="C2" s="18">
        <v>0.28999999999999998</v>
      </c>
      <c r="D2" s="18">
        <v>0.28999999999999998</v>
      </c>
      <c r="E2" s="18">
        <v>0.28999999999999998</v>
      </c>
      <c r="F2" s="18">
        <v>0.28999999999999998</v>
      </c>
      <c r="G2" t="str">
        <f>IF(PricePerOunce[[#This Row],[2018]]=PricePerOunce[[#This Row],[2013]],"None",IF(OR(PricePerOunce[[#This Row],[2018]]&gt;PricePerOunce[[#This Row],[2016]],PricePerOunce[[#This Row],[2018]]&gt;AVERAGE(PricePerOunce[[#This Row],[2013]:[2016]])),"Increase","Decrease"))</f>
        <v>None</v>
      </c>
    </row>
    <row r="3" spans="1:7" x14ac:dyDescent="0.3">
      <c r="A3" t="s">
        <v>51</v>
      </c>
      <c r="B3" s="18">
        <v>0.45</v>
      </c>
      <c r="C3" s="18">
        <v>0.45</v>
      </c>
      <c r="D3" s="18">
        <v>0.45</v>
      </c>
      <c r="E3" s="18">
        <v>0.48</v>
      </c>
      <c r="F3" s="18">
        <v>0.42</v>
      </c>
      <c r="G3" t="str">
        <f>IF(PricePerOunce[[#This Row],[2018]]=PricePerOunce[[#This Row],[2013]],"None",IF(OR(PricePerOunce[[#This Row],[2018]]&gt;PricePerOunce[[#This Row],[2016]],PricePerOunce[[#This Row],[2018]]&gt;AVERAGE(PricePerOunce[[#This Row],[2013]:[2016]])),"Increase","Decrease"))</f>
        <v>Decrease</v>
      </c>
    </row>
    <row r="4" spans="1:7" x14ac:dyDescent="0.3">
      <c r="A4" t="s">
        <v>54</v>
      </c>
      <c r="B4" s="18">
        <v>0.38</v>
      </c>
      <c r="C4" s="18">
        <v>0.42</v>
      </c>
      <c r="D4" s="18">
        <v>0.42</v>
      </c>
      <c r="E4" s="18">
        <v>0.42</v>
      </c>
      <c r="F4" s="18">
        <v>0.33</v>
      </c>
      <c r="G4" t="str">
        <f>IF(PricePerOunce[[#This Row],[2018]]=PricePerOunce[[#This Row],[2013]],"None",IF(OR(PricePerOunce[[#This Row],[2018]]&gt;PricePerOunce[[#This Row],[2016]],PricePerOunce[[#This Row],[2018]]&gt;AVERAGE(PricePerOunce[[#This Row],[2013]:[2016]])),"Increase","Decrease"))</f>
        <v>Decrease</v>
      </c>
    </row>
    <row r="5" spans="1:7" x14ac:dyDescent="0.3">
      <c r="A5" t="s">
        <v>57</v>
      </c>
      <c r="B5" s="18">
        <v>0.6</v>
      </c>
      <c r="C5" s="18">
        <v>0.65</v>
      </c>
      <c r="D5" s="18">
        <v>0.65</v>
      </c>
      <c r="E5" s="18">
        <v>0.65</v>
      </c>
      <c r="F5" s="18">
        <v>0.67</v>
      </c>
      <c r="G5" t="str">
        <f>IF(PricePerOunce[[#This Row],[2018]]=PricePerOunce[[#This Row],[2013]],"None",IF(OR(PricePerOunce[[#This Row],[2018]]&gt;PricePerOunce[[#This Row],[2016]],PricePerOunce[[#This Row],[2018]]&gt;AVERAGE(PricePerOunce[[#This Row],[2013]:[2016]])),"Increase","Decrease"))</f>
        <v>Increase</v>
      </c>
    </row>
    <row r="6" spans="1:7" x14ac:dyDescent="0.3">
      <c r="A6" t="s">
        <v>60</v>
      </c>
      <c r="B6" s="18">
        <v>0.45</v>
      </c>
      <c r="C6" s="18">
        <v>0.47</v>
      </c>
      <c r="D6" s="18">
        <v>0.47</v>
      </c>
      <c r="E6" s="18">
        <v>0.47</v>
      </c>
      <c r="F6" s="18">
        <v>0.45</v>
      </c>
      <c r="G6" t="str">
        <f>IF(PricePerOunce[[#This Row],[2018]]=PricePerOunce[[#This Row],[2013]],"None",IF(OR(PricePerOunce[[#This Row],[2018]]&gt;PricePerOunce[[#This Row],[2016]],PricePerOunce[[#This Row],[2018]]&gt;AVERAGE(PricePerOunce[[#This Row],[2013]:[2016]])),"Increase","Decrease"))</f>
        <v>None</v>
      </c>
    </row>
    <row r="7" spans="1:7" x14ac:dyDescent="0.3">
      <c r="A7" t="s">
        <v>63</v>
      </c>
      <c r="B7" s="18">
        <v>0.41</v>
      </c>
      <c r="C7" s="18">
        <v>0.41</v>
      </c>
      <c r="D7" s="18">
        <v>0.41</v>
      </c>
      <c r="E7" s="18">
        <v>0.41</v>
      </c>
      <c r="F7" s="18">
        <v>0.44</v>
      </c>
      <c r="G7" t="str">
        <f>IF(PricePerOunce[[#This Row],[2018]]=PricePerOunce[[#This Row],[2013]],"None",IF(OR(PricePerOunce[[#This Row],[2018]]&gt;PricePerOunce[[#This Row],[2016]],PricePerOunce[[#This Row],[2018]]&gt;AVERAGE(PricePerOunce[[#This Row],[2013]:[2016]])),"Increase","Decrease"))</f>
        <v>Increase</v>
      </c>
    </row>
    <row r="8" spans="1:7" x14ac:dyDescent="0.3">
      <c r="A8" t="s">
        <v>65</v>
      </c>
      <c r="B8" s="18">
        <v>0.46</v>
      </c>
      <c r="C8" s="18">
        <v>0.46</v>
      </c>
      <c r="D8" s="18">
        <v>0.46</v>
      </c>
      <c r="E8" s="18">
        <v>0.38</v>
      </c>
      <c r="F8" s="18">
        <v>0.45</v>
      </c>
      <c r="G8" t="str">
        <f>IF(PricePerOunce[[#This Row],[2018]]=PricePerOunce[[#This Row],[2013]],"None",IF(OR(PricePerOunce[[#This Row],[2018]]&gt;PricePerOunce[[#This Row],[2016]],PricePerOunce[[#This Row],[2018]]&gt;AVERAGE(PricePerOunce[[#This Row],[2013]:[2016]])),"Increase","Decrease"))</f>
        <v>Increase</v>
      </c>
    </row>
    <row r="9" spans="1:7" x14ac:dyDescent="0.3">
      <c r="A9" t="s">
        <v>68</v>
      </c>
      <c r="B9" s="18">
        <v>0.33</v>
      </c>
      <c r="C9" s="18">
        <v>0.33</v>
      </c>
      <c r="D9" s="18">
        <v>0.33</v>
      </c>
      <c r="E9" s="18">
        <v>0.33</v>
      </c>
      <c r="F9" s="18">
        <v>0.42</v>
      </c>
      <c r="G9" t="str">
        <f>IF(PricePerOunce[[#This Row],[2018]]=PricePerOunce[[#This Row],[2013]],"None",IF(OR(PricePerOunce[[#This Row],[2018]]&gt;PricePerOunce[[#This Row],[2016]],PricePerOunce[[#This Row],[2018]]&gt;AVERAGE(PricePerOunce[[#This Row],[2013]:[2016]])),"Increase","Decrease"))</f>
        <v>Increase</v>
      </c>
    </row>
    <row r="10" spans="1:7" x14ac:dyDescent="0.3">
      <c r="A10" t="s">
        <v>71</v>
      </c>
      <c r="B10" s="18">
        <v>0.38</v>
      </c>
      <c r="C10" s="18">
        <v>0.38</v>
      </c>
      <c r="D10" s="18">
        <v>0.38</v>
      </c>
      <c r="E10" s="18">
        <v>0.25</v>
      </c>
      <c r="F10" s="18">
        <v>0.25</v>
      </c>
      <c r="G10" t="str">
        <f>IF(PricePerOunce[[#This Row],[2018]]=PricePerOunce[[#This Row],[2013]],"None",IF(OR(PricePerOunce[[#This Row],[2018]]&gt;PricePerOunce[[#This Row],[2016]],PricePerOunce[[#This Row],[2018]]&gt;AVERAGE(PricePerOunce[[#This Row],[2013]:[2016]])),"Increase","Decrease"))</f>
        <v>Decrease</v>
      </c>
    </row>
    <row r="11" spans="1:7" x14ac:dyDescent="0.3">
      <c r="A11" t="s">
        <v>74</v>
      </c>
      <c r="B11" s="18">
        <v>0.42</v>
      </c>
      <c r="C11" s="18">
        <v>0.42</v>
      </c>
      <c r="D11" s="18">
        <v>0.42</v>
      </c>
      <c r="E11" s="18">
        <v>0.42</v>
      </c>
      <c r="F11" s="18">
        <v>0.42</v>
      </c>
      <c r="G11" t="str">
        <f>IF(PricePerOunce[[#This Row],[2018]]=PricePerOunce[[#This Row],[2013]],"None",IF(OR(PricePerOunce[[#This Row],[2018]]&gt;PricePerOunce[[#This Row],[2016]],PricePerOunce[[#This Row],[2018]]&gt;AVERAGE(PricePerOunce[[#This Row],[2013]:[2016]])),"Increase","Decrease"))</f>
        <v>None</v>
      </c>
    </row>
    <row r="12" spans="1:7" x14ac:dyDescent="0.3">
      <c r="A12" t="s">
        <v>77</v>
      </c>
      <c r="B12" s="18">
        <v>0.36</v>
      </c>
      <c r="C12" s="18">
        <v>0.36</v>
      </c>
      <c r="D12" s="18">
        <v>0.36</v>
      </c>
      <c r="E12" s="18">
        <v>0.36</v>
      </c>
      <c r="F12" s="18">
        <v>0.43</v>
      </c>
      <c r="G12" t="str">
        <f>IF(PricePerOunce[[#This Row],[2018]]=PricePerOunce[[#This Row],[2013]],"None",IF(OR(PricePerOunce[[#This Row],[2018]]&gt;PricePerOunce[[#This Row],[2016]],PricePerOunce[[#This Row],[2018]]&gt;AVERAGE(PricePerOunce[[#This Row],[2013]:[2016]])),"Increase","Decrease"))</f>
        <v>Increase</v>
      </c>
    </row>
    <row r="13" spans="1:7" x14ac:dyDescent="0.3">
      <c r="A13" t="s">
        <v>80</v>
      </c>
      <c r="B13" s="18">
        <v>0.41</v>
      </c>
      <c r="C13" s="18">
        <v>0.41</v>
      </c>
      <c r="D13" s="18">
        <v>0.41</v>
      </c>
      <c r="E13" s="18">
        <v>0.41</v>
      </c>
      <c r="F13" s="18">
        <v>0.33</v>
      </c>
      <c r="G13" t="str">
        <f>IF(PricePerOunce[[#This Row],[2018]]=PricePerOunce[[#This Row],[2013]],"None",IF(OR(PricePerOunce[[#This Row],[2018]]&gt;PricePerOunce[[#This Row],[2016]],PricePerOunce[[#This Row],[2018]]&gt;AVERAGE(PricePerOunce[[#This Row],[2013]:[2016]])),"Increase","Decrease"))</f>
        <v>Decrease</v>
      </c>
    </row>
    <row r="14" spans="1:7" x14ac:dyDescent="0.3">
      <c r="A14" t="s">
        <v>83</v>
      </c>
      <c r="B14" s="18">
        <v>0.28000000000000003</v>
      </c>
      <c r="C14" s="18">
        <v>0.28000000000000003</v>
      </c>
      <c r="D14" s="18">
        <v>0.28000000000000003</v>
      </c>
      <c r="E14" s="18">
        <v>0.28000000000000003</v>
      </c>
      <c r="F14" s="18">
        <v>0.38</v>
      </c>
      <c r="G14" t="str">
        <f>IF(PricePerOunce[[#This Row],[2018]]=PricePerOunce[[#This Row],[2013]],"None",IF(OR(PricePerOunce[[#This Row],[2018]]&gt;PricePerOunce[[#This Row],[2016]],PricePerOunce[[#This Row],[2018]]&gt;AVERAGE(PricePerOunce[[#This Row],[2013]:[2016]])),"Increase","Decrease"))</f>
        <v>Increase</v>
      </c>
    </row>
    <row r="15" spans="1:7" x14ac:dyDescent="0.3">
      <c r="A15" t="s">
        <v>86</v>
      </c>
      <c r="B15" s="18">
        <v>0.39</v>
      </c>
      <c r="C15" s="18">
        <v>0.34</v>
      </c>
      <c r="D15" s="18">
        <v>0.34</v>
      </c>
      <c r="E15" s="18">
        <v>0.31</v>
      </c>
      <c r="F15" s="18">
        <v>0.39</v>
      </c>
      <c r="G15" t="str">
        <f>IF(PricePerOunce[[#This Row],[2018]]=PricePerOunce[[#This Row],[2013]],"None",IF(OR(PricePerOunce[[#This Row],[2018]]&gt;PricePerOunce[[#This Row],[2016]],PricePerOunce[[#This Row],[2018]]&gt;AVERAGE(PricePerOunce[[#This Row],[2013]:[2016]])),"Increase","Decrease"))</f>
        <v>None</v>
      </c>
    </row>
    <row r="16" spans="1:7" x14ac:dyDescent="0.3">
      <c r="A16" t="s">
        <v>89</v>
      </c>
      <c r="B16" s="18">
        <v>0.4</v>
      </c>
      <c r="C16" s="18">
        <v>0.5</v>
      </c>
      <c r="D16" s="18">
        <v>0.5</v>
      </c>
      <c r="E16" s="18">
        <v>0.5</v>
      </c>
      <c r="F16" s="18">
        <v>0.5</v>
      </c>
      <c r="G16" t="str">
        <f>IF(PricePerOunce[[#This Row],[2018]]=PricePerOunce[[#This Row],[2013]],"None",IF(OR(PricePerOunce[[#This Row],[2018]]&gt;PricePerOunce[[#This Row],[2016]],PricePerOunce[[#This Row],[2018]]&gt;AVERAGE(PricePerOunce[[#This Row],[2013]:[2016]])),"Increase","Decrease"))</f>
        <v>Increase</v>
      </c>
    </row>
    <row r="17" spans="1:7" x14ac:dyDescent="0.3">
      <c r="A17" t="s">
        <v>92</v>
      </c>
      <c r="B17" s="18">
        <v>0.38</v>
      </c>
      <c r="C17" s="18">
        <v>0.38</v>
      </c>
      <c r="D17" s="18">
        <v>0.38</v>
      </c>
      <c r="E17" s="18">
        <v>0.38</v>
      </c>
      <c r="F17" s="18">
        <v>0.44</v>
      </c>
      <c r="G17" t="str">
        <f>IF(PricePerOunce[[#This Row],[2018]]=PricePerOunce[[#This Row],[2013]],"None",IF(OR(PricePerOunce[[#This Row],[2018]]&gt;PricePerOunce[[#This Row],[2016]],PricePerOunce[[#This Row],[2018]]&gt;AVERAGE(PricePerOunce[[#This Row],[2013]:[2016]])),"Increase","Decrease"))</f>
        <v>Increase</v>
      </c>
    </row>
    <row r="18" spans="1:7" x14ac:dyDescent="0.3">
      <c r="A18" t="s">
        <v>95</v>
      </c>
      <c r="B18" s="18">
        <v>0.38</v>
      </c>
      <c r="C18" s="18">
        <v>0.38</v>
      </c>
      <c r="D18" s="18">
        <v>0.38</v>
      </c>
      <c r="E18" s="18">
        <v>0.38</v>
      </c>
      <c r="F18" s="18">
        <v>0.43</v>
      </c>
      <c r="G18" t="str">
        <f>IF(PricePerOunce[[#This Row],[2018]]=PricePerOunce[[#This Row],[2013]],"None",IF(OR(PricePerOunce[[#This Row],[2018]]&gt;PricePerOunce[[#This Row],[2016]],PricePerOunce[[#This Row],[2018]]&gt;AVERAGE(PricePerOunce[[#This Row],[2013]:[2016]])),"Increase","Decrease"))</f>
        <v>Increase</v>
      </c>
    </row>
    <row r="19" spans="1:7" x14ac:dyDescent="0.3">
      <c r="A19" t="s">
        <v>98</v>
      </c>
      <c r="B19" s="18">
        <v>0.48</v>
      </c>
      <c r="C19" s="18">
        <v>0.48</v>
      </c>
      <c r="D19" s="18">
        <v>0.48</v>
      </c>
      <c r="E19" s="18">
        <v>0.48</v>
      </c>
      <c r="F19" s="18">
        <v>0.53</v>
      </c>
      <c r="G19" t="str">
        <f>IF(PricePerOunce[[#This Row],[2018]]=PricePerOunce[[#This Row],[2013]],"None",IF(OR(PricePerOunce[[#This Row],[2018]]&gt;PricePerOunce[[#This Row],[2016]],PricePerOunce[[#This Row],[2018]]&gt;AVERAGE(PricePerOunce[[#This Row],[2013]:[2016]])),"Increase","Decrease"))</f>
        <v>Increase</v>
      </c>
    </row>
    <row r="20" spans="1:7" x14ac:dyDescent="0.3">
      <c r="A20" t="s">
        <v>101</v>
      </c>
      <c r="B20" s="18">
        <v>0.5</v>
      </c>
      <c r="C20" s="18">
        <v>0.5</v>
      </c>
      <c r="D20" s="18">
        <v>0.5</v>
      </c>
      <c r="E20" s="18">
        <v>0.5</v>
      </c>
      <c r="F20" s="18">
        <v>0.5</v>
      </c>
      <c r="G20" t="str">
        <f>IF(PricePerOunce[[#This Row],[2018]]=PricePerOunce[[#This Row],[2013]],"None",IF(OR(PricePerOunce[[#This Row],[2018]]&gt;PricePerOunce[[#This Row],[2016]],PricePerOunce[[#This Row],[2018]]&gt;AVERAGE(PricePerOunce[[#This Row],[2013]:[2016]])),"Increase","Decrease"))</f>
        <v>None</v>
      </c>
    </row>
    <row r="21" spans="1:7" x14ac:dyDescent="0.3">
      <c r="A21" t="s">
        <v>103</v>
      </c>
      <c r="B21" s="18">
        <v>0.36</v>
      </c>
      <c r="C21" s="18">
        <v>0.42</v>
      </c>
      <c r="D21" s="18">
        <v>0.42</v>
      </c>
      <c r="E21" s="18">
        <v>0.42</v>
      </c>
      <c r="F21" s="18">
        <v>0.46</v>
      </c>
      <c r="G21" t="str">
        <f>IF(PricePerOunce[[#This Row],[2018]]=PricePerOunce[[#This Row],[2013]],"None",IF(OR(PricePerOunce[[#This Row],[2018]]&gt;PricePerOunce[[#This Row],[2016]],PricePerOunce[[#This Row],[2018]]&gt;AVERAGE(PricePerOunce[[#This Row],[2013]:[2016]])),"Increase","Decrease"))</f>
        <v>Increase</v>
      </c>
    </row>
    <row r="22" spans="1:7" x14ac:dyDescent="0.3">
      <c r="A22" t="s">
        <v>106</v>
      </c>
      <c r="B22" s="18">
        <v>0.37</v>
      </c>
      <c r="C22" s="18">
        <v>0.37</v>
      </c>
      <c r="D22" s="18">
        <v>0.37</v>
      </c>
      <c r="E22" s="18">
        <v>0.37</v>
      </c>
      <c r="F22" s="18">
        <v>0.5</v>
      </c>
      <c r="G22" t="str">
        <f>IF(PricePerOunce[[#This Row],[2018]]=PricePerOunce[[#This Row],[2013]],"None",IF(OR(PricePerOunce[[#This Row],[2018]]&gt;PricePerOunce[[#This Row],[2016]],PricePerOunce[[#This Row],[2018]]&gt;AVERAGE(PricePerOunce[[#This Row],[2013]:[2016]])),"Increase","Decrease"))</f>
        <v>Increase</v>
      </c>
    </row>
    <row r="23" spans="1:7" x14ac:dyDescent="0.3">
      <c r="A23" t="s">
        <v>109</v>
      </c>
      <c r="B23" s="18">
        <v>0.34</v>
      </c>
      <c r="C23" s="18">
        <v>0.34</v>
      </c>
      <c r="D23" s="18">
        <v>0.34</v>
      </c>
      <c r="E23" s="18">
        <v>0.34</v>
      </c>
      <c r="F23" s="18">
        <v>0.38</v>
      </c>
      <c r="G23" t="str">
        <f>IF(PricePerOunce[[#This Row],[2018]]=PricePerOunce[[#This Row],[2013]],"None",IF(OR(PricePerOunce[[#This Row],[2018]]&gt;PricePerOunce[[#This Row],[2016]],PricePerOunce[[#This Row],[2018]]&gt;AVERAGE(PricePerOunce[[#This Row],[2013]:[2016]])),"Increase","Decrease"))</f>
        <v>Increase</v>
      </c>
    </row>
    <row r="24" spans="1:7" x14ac:dyDescent="0.3">
      <c r="A24" t="s">
        <v>112</v>
      </c>
      <c r="B24" s="18">
        <v>0.36</v>
      </c>
      <c r="C24" s="18">
        <v>0.36</v>
      </c>
      <c r="D24" s="18">
        <v>0.36</v>
      </c>
      <c r="E24" s="18">
        <v>0.36</v>
      </c>
      <c r="F24" s="18">
        <v>0.42</v>
      </c>
      <c r="G24" t="str">
        <f>IF(PricePerOunce[[#This Row],[2018]]=PricePerOunce[[#This Row],[2013]],"None",IF(OR(PricePerOunce[[#This Row],[2018]]&gt;PricePerOunce[[#This Row],[2016]],PricePerOunce[[#This Row],[2018]]&gt;AVERAGE(PricePerOunce[[#This Row],[2013]:[2016]])),"Increase","Decrease"))</f>
        <v>Increase</v>
      </c>
    </row>
    <row r="25" spans="1:7" x14ac:dyDescent="0.3">
      <c r="A25" t="s">
        <v>115</v>
      </c>
      <c r="B25" s="18">
        <v>0.42</v>
      </c>
      <c r="C25" s="18">
        <v>0.5</v>
      </c>
      <c r="D25" s="18">
        <v>0.5</v>
      </c>
      <c r="E25" s="18">
        <v>0.54</v>
      </c>
      <c r="F25" s="18">
        <v>0.59</v>
      </c>
      <c r="G25" t="str">
        <f>IF(PricePerOunce[[#This Row],[2018]]=PricePerOunce[[#This Row],[2013]],"None",IF(OR(PricePerOunce[[#This Row],[2018]]&gt;PricePerOunce[[#This Row],[2016]],PricePerOunce[[#This Row],[2018]]&gt;AVERAGE(PricePerOunce[[#This Row],[2013]:[2016]])),"Increase","Decrease"))</f>
        <v>Increase</v>
      </c>
    </row>
    <row r="26" spans="1:7" x14ac:dyDescent="0.3">
      <c r="A26" t="s">
        <v>118</v>
      </c>
      <c r="B26" s="18">
        <v>0.46</v>
      </c>
      <c r="C26" s="18">
        <v>0.5</v>
      </c>
      <c r="D26" s="18">
        <v>0.5</v>
      </c>
      <c r="E26" s="18">
        <v>0.38</v>
      </c>
      <c r="F26" s="18">
        <v>0.42</v>
      </c>
      <c r="G26" t="str">
        <f>IF(PricePerOunce[[#This Row],[2018]]=PricePerOunce[[#This Row],[2013]],"None",IF(OR(PricePerOunce[[#This Row],[2018]]&gt;PricePerOunce[[#This Row],[2016]],PricePerOunce[[#This Row],[2018]]&gt;AVERAGE(PricePerOunce[[#This Row],[2013]:[2016]])),"Increase","Decrease"))</f>
        <v>Increase</v>
      </c>
    </row>
    <row r="27" spans="1:7" x14ac:dyDescent="0.3">
      <c r="A27" t="s">
        <v>121</v>
      </c>
      <c r="B27" s="18">
        <v>0.56000000000000005</v>
      </c>
      <c r="C27" s="18">
        <v>0.56000000000000005</v>
      </c>
      <c r="D27" s="18">
        <v>0.56000000000000005</v>
      </c>
      <c r="E27" s="18">
        <v>0.42</v>
      </c>
      <c r="F27" s="18">
        <v>0.42</v>
      </c>
      <c r="G27" t="str">
        <f>IF(PricePerOunce[[#This Row],[2018]]=PricePerOunce[[#This Row],[2013]],"None",IF(OR(PricePerOunce[[#This Row],[2018]]&gt;PricePerOunce[[#This Row],[2016]],PricePerOunce[[#This Row],[2018]]&gt;AVERAGE(PricePerOunce[[#This Row],[2013]:[2016]])),"Increase","Decrease"))</f>
        <v>Decrease</v>
      </c>
    </row>
    <row r="28" spans="1:7" x14ac:dyDescent="0.3">
      <c r="A28" t="s">
        <v>124</v>
      </c>
      <c r="B28" s="18">
        <v>0.42</v>
      </c>
      <c r="C28" s="18">
        <v>0.42</v>
      </c>
      <c r="D28" s="18">
        <v>0.42</v>
      </c>
      <c r="E28" s="18">
        <v>0.42</v>
      </c>
      <c r="F28" s="18">
        <v>0.42</v>
      </c>
      <c r="G28" t="str">
        <f>IF(PricePerOunce[[#This Row],[2018]]=PricePerOunce[[#This Row],[2013]],"None",IF(OR(PricePerOunce[[#This Row],[2018]]&gt;PricePerOunce[[#This Row],[2016]],PricePerOunce[[#This Row],[2018]]&gt;AVERAGE(PricePerOunce[[#This Row],[2013]:[2016]])),"Increase","Decrease"))</f>
        <v>None</v>
      </c>
    </row>
    <row r="29" spans="1:7" x14ac:dyDescent="0.3">
      <c r="A29" t="s">
        <v>127</v>
      </c>
      <c r="B29" s="18">
        <v>0.31</v>
      </c>
      <c r="C29" s="18">
        <v>0.31</v>
      </c>
      <c r="D29" s="18">
        <v>0.31</v>
      </c>
      <c r="E29" s="18">
        <v>0.38</v>
      </c>
      <c r="F29" s="18">
        <v>0.38</v>
      </c>
      <c r="G29" t="str">
        <f>IF(PricePerOunce[[#This Row],[2018]]=PricePerOunce[[#This Row],[2013]],"None",IF(OR(PricePerOunce[[#This Row],[2018]]&gt;PricePerOunce[[#This Row],[2016]],PricePerOunce[[#This Row],[2018]]&gt;AVERAGE(PricePerOunce[[#This Row],[2013]:[2016]])),"Increase","Decrease"))</f>
        <v>Increase</v>
      </c>
    </row>
    <row r="30" spans="1:7" x14ac:dyDescent="0.3">
      <c r="A30" t="s">
        <v>130</v>
      </c>
      <c r="B30" s="18">
        <v>0.52</v>
      </c>
      <c r="C30" s="18">
        <v>0.49</v>
      </c>
      <c r="D30" s="18">
        <v>0.49</v>
      </c>
      <c r="E30" s="18">
        <v>0.49</v>
      </c>
      <c r="F30" s="18">
        <v>0.41</v>
      </c>
      <c r="G30" t="str">
        <f>IF(PricePerOunce[[#This Row],[2018]]=PricePerOunce[[#This Row],[2013]],"None",IF(OR(PricePerOunce[[#This Row],[2018]]&gt;PricePerOunce[[#This Row],[2016]],PricePerOunce[[#This Row],[2018]]&gt;AVERAGE(PricePerOunce[[#This Row],[2013]:[2016]])),"Increase","Decrease"))</f>
        <v>Decrease</v>
      </c>
    </row>
    <row r="31" spans="1:7" x14ac:dyDescent="0.3">
      <c r="A31" t="s">
        <v>133</v>
      </c>
      <c r="B31" s="18">
        <v>0.52</v>
      </c>
      <c r="C31" s="18">
        <v>0.41</v>
      </c>
      <c r="D31" s="18">
        <v>0.41</v>
      </c>
      <c r="E31" s="18">
        <v>0.41</v>
      </c>
      <c r="F31" s="18">
        <v>0.5</v>
      </c>
      <c r="G31" t="str">
        <f>IF(PricePerOunce[[#This Row],[2018]]=PricePerOunce[[#This Row],[2013]],"None",IF(OR(PricePerOunce[[#This Row],[2018]]&gt;PricePerOunce[[#This Row],[2016]],PricePerOunce[[#This Row],[2018]]&gt;AVERAGE(PricePerOunce[[#This Row],[2013]:[2016]])),"Increase","Decrease"))</f>
        <v>Increase</v>
      </c>
    </row>
  </sheetData>
  <conditionalFormatting sqref="B2:F31">
    <cfRule type="colorScale" priority="1">
      <colorScale>
        <cfvo type="min"/>
        <cfvo type="percentile" val="50"/>
        <cfvo type="max"/>
        <color rgb="FF63BE7B"/>
        <color rgb="FFFCFCFF"/>
        <color rgb="FFF8696B"/>
      </colorScale>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4DC98-164E-4A7E-B87A-D3F50E324558}">
  <sheetPr>
    <tabColor theme="9" tint="-0.249977111117893"/>
  </sheetPr>
  <dimension ref="A1"/>
  <sheetViews>
    <sheetView showGridLines="0" topLeftCell="A7" workbookViewId="0"/>
  </sheetViews>
  <sheetFormatPr defaultRowHeight="14.4" x14ac:dyDescent="0.3"/>
  <cols>
    <col min="1" max="1" width="2.88671875" customWidth="1"/>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0218F-302D-441B-9B0B-FB1DF647E442}">
  <sheetPr>
    <tabColor theme="9" tint="0.59999389629810485"/>
  </sheetPr>
  <dimension ref="A1:D182"/>
  <sheetViews>
    <sheetView topLeftCell="A116" workbookViewId="0">
      <selection activeCell="D2" sqref="D2:D182"/>
    </sheetView>
  </sheetViews>
  <sheetFormatPr defaultRowHeight="14.4" x14ac:dyDescent="0.3"/>
  <cols>
    <col min="1" max="1" width="28.5546875" customWidth="1"/>
    <col min="2" max="2" width="25.6640625" customWidth="1"/>
    <col min="3" max="3" width="12.6640625" bestFit="1" customWidth="1"/>
    <col min="4" max="4" width="11.44140625" customWidth="1"/>
  </cols>
  <sheetData>
    <row r="1" spans="1:4" x14ac:dyDescent="0.3">
      <c r="A1" s="22" t="s">
        <v>0</v>
      </c>
      <c r="B1" s="22" t="s">
        <v>144</v>
      </c>
      <c r="C1" s="22" t="s">
        <v>319</v>
      </c>
      <c r="D1" s="22" t="s">
        <v>321</v>
      </c>
    </row>
    <row r="2" spans="1:4" x14ac:dyDescent="0.3">
      <c r="A2" t="s">
        <v>145</v>
      </c>
      <c r="B2" t="s">
        <v>146</v>
      </c>
      <c r="C2" s="21">
        <v>38041754</v>
      </c>
      <c r="D2" s="21">
        <v>652230</v>
      </c>
    </row>
    <row r="3" spans="1:4" x14ac:dyDescent="0.3">
      <c r="A3" t="s">
        <v>147</v>
      </c>
      <c r="B3" t="s">
        <v>148</v>
      </c>
      <c r="C3" s="21">
        <v>2854191</v>
      </c>
      <c r="D3" s="21">
        <v>28748</v>
      </c>
    </row>
    <row r="4" spans="1:4" x14ac:dyDescent="0.3">
      <c r="A4" t="s">
        <v>149</v>
      </c>
      <c r="B4" t="s">
        <v>150</v>
      </c>
      <c r="C4" s="21">
        <v>43053054</v>
      </c>
      <c r="D4" s="21">
        <v>2381741</v>
      </c>
    </row>
    <row r="5" spans="1:4" x14ac:dyDescent="0.3">
      <c r="A5" t="s">
        <v>151</v>
      </c>
      <c r="B5" t="s">
        <v>148</v>
      </c>
      <c r="C5" s="21">
        <v>77142</v>
      </c>
      <c r="D5" s="21">
        <v>468</v>
      </c>
    </row>
    <row r="6" spans="1:4" x14ac:dyDescent="0.3">
      <c r="A6" t="s">
        <v>152</v>
      </c>
      <c r="B6" t="s">
        <v>153</v>
      </c>
      <c r="C6" s="21">
        <v>31825295</v>
      </c>
      <c r="D6" s="21">
        <v>1246700</v>
      </c>
    </row>
    <row r="7" spans="1:4" x14ac:dyDescent="0.3">
      <c r="A7" t="s">
        <v>154</v>
      </c>
      <c r="B7" t="s">
        <v>155</v>
      </c>
      <c r="C7" s="21">
        <v>97118</v>
      </c>
      <c r="D7" s="21">
        <v>442.6</v>
      </c>
    </row>
    <row r="8" spans="1:4" x14ac:dyDescent="0.3">
      <c r="A8" t="s">
        <v>156</v>
      </c>
      <c r="B8" t="s">
        <v>155</v>
      </c>
      <c r="C8" s="21">
        <v>44938712</v>
      </c>
      <c r="D8" s="21">
        <v>2780400</v>
      </c>
    </row>
    <row r="9" spans="1:4" x14ac:dyDescent="0.3">
      <c r="A9" t="s">
        <v>157</v>
      </c>
      <c r="B9" t="s">
        <v>148</v>
      </c>
      <c r="C9" s="21">
        <v>2957731</v>
      </c>
      <c r="D9" s="21">
        <v>29743</v>
      </c>
    </row>
    <row r="10" spans="1:4" x14ac:dyDescent="0.3">
      <c r="A10" t="s">
        <v>158</v>
      </c>
      <c r="B10" t="s">
        <v>159</v>
      </c>
      <c r="C10" s="21">
        <v>25364307</v>
      </c>
      <c r="D10" s="21">
        <v>7741220</v>
      </c>
    </row>
    <row r="11" spans="1:4" x14ac:dyDescent="0.3">
      <c r="A11" t="s">
        <v>15</v>
      </c>
      <c r="B11" t="s">
        <v>148</v>
      </c>
      <c r="C11" s="21">
        <v>8877067</v>
      </c>
      <c r="D11" s="21">
        <v>83871</v>
      </c>
    </row>
    <row r="12" spans="1:4" x14ac:dyDescent="0.3">
      <c r="A12" t="s">
        <v>160</v>
      </c>
      <c r="B12" t="s">
        <v>148</v>
      </c>
      <c r="C12" s="21">
        <v>10023318</v>
      </c>
      <c r="D12" s="21">
        <v>86600</v>
      </c>
    </row>
    <row r="13" spans="1:4" x14ac:dyDescent="0.3">
      <c r="A13" t="s">
        <v>161</v>
      </c>
      <c r="B13" t="s">
        <v>150</v>
      </c>
      <c r="C13" s="21">
        <v>1641172</v>
      </c>
      <c r="D13" s="21">
        <v>765.3</v>
      </c>
    </row>
    <row r="14" spans="1:4" x14ac:dyDescent="0.3">
      <c r="A14" t="s">
        <v>162</v>
      </c>
      <c r="B14" t="s">
        <v>146</v>
      </c>
      <c r="C14" s="21">
        <v>163046161</v>
      </c>
      <c r="D14" s="21">
        <v>148460</v>
      </c>
    </row>
    <row r="15" spans="1:4" x14ac:dyDescent="0.3">
      <c r="A15" t="s">
        <v>163</v>
      </c>
      <c r="B15" t="s">
        <v>148</v>
      </c>
      <c r="C15" s="21">
        <v>9466856</v>
      </c>
      <c r="D15" s="21">
        <v>207600</v>
      </c>
    </row>
    <row r="16" spans="1:4" x14ac:dyDescent="0.3">
      <c r="A16" t="s">
        <v>11</v>
      </c>
      <c r="B16" t="s">
        <v>148</v>
      </c>
      <c r="C16" s="21">
        <v>11484055</v>
      </c>
      <c r="D16" s="21">
        <v>30528</v>
      </c>
    </row>
    <row r="17" spans="1:4" x14ac:dyDescent="0.3">
      <c r="A17" t="s">
        <v>164</v>
      </c>
      <c r="B17" t="s">
        <v>155</v>
      </c>
      <c r="C17" s="21">
        <v>390353</v>
      </c>
      <c r="D17" s="21">
        <v>22966</v>
      </c>
    </row>
    <row r="18" spans="1:4" x14ac:dyDescent="0.3">
      <c r="A18" t="s">
        <v>165</v>
      </c>
      <c r="B18" t="s">
        <v>153</v>
      </c>
      <c r="C18" s="21">
        <v>11801151</v>
      </c>
      <c r="D18" s="21">
        <v>112622</v>
      </c>
    </row>
    <row r="19" spans="1:4" x14ac:dyDescent="0.3">
      <c r="A19" t="s">
        <v>166</v>
      </c>
      <c r="B19" t="s">
        <v>146</v>
      </c>
      <c r="C19" s="21">
        <v>763092</v>
      </c>
      <c r="D19" s="21">
        <v>38394</v>
      </c>
    </row>
    <row r="20" spans="1:4" x14ac:dyDescent="0.3">
      <c r="A20" t="s">
        <v>167</v>
      </c>
      <c r="B20" t="s">
        <v>155</v>
      </c>
      <c r="C20" s="21">
        <v>11513100</v>
      </c>
      <c r="D20" s="21">
        <v>1098581</v>
      </c>
    </row>
    <row r="21" spans="1:4" x14ac:dyDescent="0.3">
      <c r="A21" t="s">
        <v>168</v>
      </c>
      <c r="B21" t="s">
        <v>148</v>
      </c>
      <c r="C21" s="21">
        <v>3301000</v>
      </c>
      <c r="D21" s="21">
        <v>51197</v>
      </c>
    </row>
    <row r="22" spans="1:4" x14ac:dyDescent="0.3">
      <c r="A22" t="s">
        <v>169</v>
      </c>
      <c r="B22" t="s">
        <v>153</v>
      </c>
      <c r="C22" s="21">
        <v>2303697</v>
      </c>
      <c r="D22" s="21">
        <v>581730</v>
      </c>
    </row>
    <row r="23" spans="1:4" x14ac:dyDescent="0.3">
      <c r="A23" t="s">
        <v>170</v>
      </c>
      <c r="B23" t="s">
        <v>155</v>
      </c>
      <c r="C23" s="21">
        <v>212559417</v>
      </c>
      <c r="D23" s="21">
        <v>8515770</v>
      </c>
    </row>
    <row r="24" spans="1:4" x14ac:dyDescent="0.3">
      <c r="A24" t="s">
        <v>171</v>
      </c>
      <c r="B24" t="s">
        <v>159</v>
      </c>
      <c r="C24" s="21">
        <v>433285</v>
      </c>
      <c r="D24" s="21">
        <v>5765</v>
      </c>
    </row>
    <row r="25" spans="1:4" x14ac:dyDescent="0.3">
      <c r="A25" t="s">
        <v>172</v>
      </c>
      <c r="B25" t="s">
        <v>148</v>
      </c>
      <c r="C25" s="21">
        <v>6975761</v>
      </c>
      <c r="D25" s="21">
        <v>110879</v>
      </c>
    </row>
    <row r="26" spans="1:4" x14ac:dyDescent="0.3">
      <c r="A26" t="s">
        <v>173</v>
      </c>
      <c r="B26" t="s">
        <v>153</v>
      </c>
      <c r="C26" s="21">
        <v>20321378</v>
      </c>
      <c r="D26" s="21">
        <v>274200</v>
      </c>
    </row>
    <row r="27" spans="1:4" x14ac:dyDescent="0.3">
      <c r="A27" t="s">
        <v>174</v>
      </c>
      <c r="B27" t="s">
        <v>153</v>
      </c>
      <c r="C27" s="21">
        <v>11530580</v>
      </c>
      <c r="D27" s="21">
        <v>27830</v>
      </c>
    </row>
    <row r="28" spans="1:4" x14ac:dyDescent="0.3">
      <c r="A28" t="s">
        <v>175</v>
      </c>
      <c r="B28" t="s">
        <v>153</v>
      </c>
      <c r="C28" s="21">
        <v>549935</v>
      </c>
      <c r="D28" s="21">
        <v>4033</v>
      </c>
    </row>
    <row r="29" spans="1:4" x14ac:dyDescent="0.3">
      <c r="A29" t="s">
        <v>176</v>
      </c>
      <c r="B29" t="s">
        <v>159</v>
      </c>
      <c r="C29" s="21">
        <v>16486542</v>
      </c>
      <c r="D29" s="21">
        <v>181035</v>
      </c>
    </row>
    <row r="30" spans="1:4" x14ac:dyDescent="0.3">
      <c r="A30" t="s">
        <v>177</v>
      </c>
      <c r="B30" t="s">
        <v>153</v>
      </c>
      <c r="C30" s="21">
        <v>25876380</v>
      </c>
      <c r="D30" s="21">
        <v>475440</v>
      </c>
    </row>
    <row r="31" spans="1:4" x14ac:dyDescent="0.3">
      <c r="A31" t="s">
        <v>178</v>
      </c>
      <c r="B31" t="s">
        <v>179</v>
      </c>
      <c r="C31" s="21">
        <v>37589262</v>
      </c>
      <c r="D31" s="21">
        <v>9984670</v>
      </c>
    </row>
    <row r="32" spans="1:4" x14ac:dyDescent="0.3">
      <c r="A32" t="s">
        <v>180</v>
      </c>
      <c r="B32" t="s">
        <v>153</v>
      </c>
      <c r="C32" s="21">
        <v>4745185</v>
      </c>
      <c r="D32" s="21">
        <v>622984</v>
      </c>
    </row>
    <row r="33" spans="1:4" x14ac:dyDescent="0.3">
      <c r="A33" t="s">
        <v>181</v>
      </c>
      <c r="B33" t="s">
        <v>153</v>
      </c>
      <c r="C33" s="21">
        <v>15946876</v>
      </c>
      <c r="D33" s="21">
        <v>1284000</v>
      </c>
    </row>
    <row r="34" spans="1:4" x14ac:dyDescent="0.3">
      <c r="A34" t="s">
        <v>182</v>
      </c>
      <c r="B34" t="s">
        <v>155</v>
      </c>
      <c r="C34" s="21">
        <v>18952038</v>
      </c>
      <c r="D34" s="21">
        <v>756096.3</v>
      </c>
    </row>
    <row r="35" spans="1:4" x14ac:dyDescent="0.3">
      <c r="A35" t="s">
        <v>183</v>
      </c>
      <c r="B35" t="s">
        <v>159</v>
      </c>
      <c r="C35" s="21">
        <v>1397715000</v>
      </c>
      <c r="D35" s="21">
        <v>9596960</v>
      </c>
    </row>
    <row r="36" spans="1:4" x14ac:dyDescent="0.3">
      <c r="A36" t="s">
        <v>184</v>
      </c>
      <c r="B36" t="s">
        <v>155</v>
      </c>
      <c r="C36" s="21">
        <v>50339443</v>
      </c>
      <c r="D36" s="21">
        <v>1138910</v>
      </c>
    </row>
    <row r="37" spans="1:4" x14ac:dyDescent="0.3">
      <c r="A37" t="s">
        <v>185</v>
      </c>
      <c r="B37" t="s">
        <v>153</v>
      </c>
      <c r="C37" s="21">
        <v>850886</v>
      </c>
      <c r="D37" s="21">
        <v>2235</v>
      </c>
    </row>
    <row r="38" spans="1:4" x14ac:dyDescent="0.3">
      <c r="A38" t="s">
        <v>186</v>
      </c>
      <c r="B38" t="s">
        <v>153</v>
      </c>
      <c r="C38" s="21">
        <v>86790567</v>
      </c>
      <c r="D38" s="21">
        <v>2344858</v>
      </c>
    </row>
    <row r="39" spans="1:4" x14ac:dyDescent="0.3">
      <c r="A39" t="s">
        <v>187</v>
      </c>
      <c r="B39" t="s">
        <v>153</v>
      </c>
      <c r="C39" s="21">
        <v>5380508</v>
      </c>
      <c r="D39" s="21">
        <v>342000</v>
      </c>
    </row>
    <row r="40" spans="1:4" x14ac:dyDescent="0.3">
      <c r="A40" t="s">
        <v>188</v>
      </c>
      <c r="B40" t="s">
        <v>155</v>
      </c>
      <c r="C40" s="21">
        <v>5047561</v>
      </c>
      <c r="D40" s="21">
        <v>51100</v>
      </c>
    </row>
    <row r="41" spans="1:4" x14ac:dyDescent="0.3">
      <c r="A41" t="s">
        <v>189</v>
      </c>
      <c r="B41" t="s">
        <v>153</v>
      </c>
      <c r="C41" s="21">
        <v>25716544</v>
      </c>
      <c r="D41" s="21">
        <v>322463</v>
      </c>
    </row>
    <row r="42" spans="1:4" x14ac:dyDescent="0.3">
      <c r="A42" t="s">
        <v>190</v>
      </c>
      <c r="B42" t="s">
        <v>148</v>
      </c>
      <c r="C42" s="21">
        <v>4067500</v>
      </c>
      <c r="D42" s="21">
        <v>56594</v>
      </c>
    </row>
    <row r="43" spans="1:4" x14ac:dyDescent="0.3">
      <c r="A43" t="s">
        <v>191</v>
      </c>
      <c r="B43" t="s">
        <v>148</v>
      </c>
      <c r="C43" s="21">
        <v>1198575</v>
      </c>
      <c r="D43" s="21">
        <v>9251</v>
      </c>
    </row>
    <row r="44" spans="1:4" x14ac:dyDescent="0.3">
      <c r="A44" t="s">
        <v>192</v>
      </c>
      <c r="B44" t="s">
        <v>148</v>
      </c>
      <c r="C44" s="21">
        <v>10669709</v>
      </c>
      <c r="D44" s="21">
        <v>78867</v>
      </c>
    </row>
    <row r="45" spans="1:4" x14ac:dyDescent="0.3">
      <c r="A45" t="s">
        <v>12</v>
      </c>
      <c r="B45" t="s">
        <v>148</v>
      </c>
      <c r="C45" s="21">
        <v>5818553</v>
      </c>
      <c r="D45" s="21">
        <v>43094</v>
      </c>
    </row>
    <row r="46" spans="1:4" x14ac:dyDescent="0.3">
      <c r="A46" t="s">
        <v>193</v>
      </c>
      <c r="B46" t="s">
        <v>150</v>
      </c>
      <c r="C46" s="21">
        <v>973560</v>
      </c>
      <c r="D46" s="21">
        <v>23200</v>
      </c>
    </row>
    <row r="47" spans="1:4" x14ac:dyDescent="0.3">
      <c r="A47" t="s">
        <v>194</v>
      </c>
      <c r="B47" t="s">
        <v>155</v>
      </c>
      <c r="C47" s="21">
        <v>71808</v>
      </c>
      <c r="D47" s="21">
        <v>751</v>
      </c>
    </row>
    <row r="48" spans="1:4" x14ac:dyDescent="0.3">
      <c r="A48" t="s">
        <v>195</v>
      </c>
      <c r="B48" t="s">
        <v>155</v>
      </c>
      <c r="C48" s="21">
        <v>10738958</v>
      </c>
      <c r="D48" s="21">
        <v>48670</v>
      </c>
    </row>
    <row r="49" spans="1:4" x14ac:dyDescent="0.3">
      <c r="A49" t="s">
        <v>196</v>
      </c>
      <c r="B49" t="s">
        <v>155</v>
      </c>
      <c r="C49" s="21">
        <v>17373662</v>
      </c>
      <c r="D49" s="21">
        <v>283561</v>
      </c>
    </row>
    <row r="50" spans="1:4" x14ac:dyDescent="0.3">
      <c r="A50" t="s">
        <v>197</v>
      </c>
      <c r="B50" t="s">
        <v>150</v>
      </c>
      <c r="C50" s="21">
        <v>100388073</v>
      </c>
      <c r="D50" s="21">
        <v>1001450</v>
      </c>
    </row>
    <row r="51" spans="1:4" x14ac:dyDescent="0.3">
      <c r="A51" t="s">
        <v>198</v>
      </c>
      <c r="B51" t="s">
        <v>155</v>
      </c>
      <c r="C51" s="21">
        <v>6453553</v>
      </c>
      <c r="D51" s="21">
        <v>21041</v>
      </c>
    </row>
    <row r="52" spans="1:4" x14ac:dyDescent="0.3">
      <c r="A52" t="s">
        <v>199</v>
      </c>
      <c r="B52" t="s">
        <v>153</v>
      </c>
      <c r="C52" s="21">
        <v>1355986</v>
      </c>
      <c r="D52" s="21">
        <v>28051</v>
      </c>
    </row>
    <row r="53" spans="1:4" x14ac:dyDescent="0.3">
      <c r="A53" t="s">
        <v>200</v>
      </c>
      <c r="B53" t="s">
        <v>148</v>
      </c>
      <c r="C53" s="21">
        <v>1326590</v>
      </c>
      <c r="D53" s="21">
        <v>45228</v>
      </c>
    </row>
    <row r="54" spans="1:4" x14ac:dyDescent="0.3">
      <c r="A54" t="s">
        <v>201</v>
      </c>
      <c r="B54" t="s">
        <v>153</v>
      </c>
      <c r="C54" s="21">
        <v>1093238</v>
      </c>
      <c r="D54" s="21">
        <v>17364</v>
      </c>
    </row>
    <row r="55" spans="1:4" x14ac:dyDescent="0.3">
      <c r="A55" t="s">
        <v>202</v>
      </c>
      <c r="B55" t="s">
        <v>153</v>
      </c>
      <c r="C55" s="21">
        <v>112078730</v>
      </c>
      <c r="D55" s="21">
        <v>1104300</v>
      </c>
    </row>
    <row r="56" spans="1:4" x14ac:dyDescent="0.3">
      <c r="A56" t="s">
        <v>203</v>
      </c>
      <c r="B56" t="s">
        <v>159</v>
      </c>
      <c r="C56" s="21">
        <v>889953</v>
      </c>
      <c r="D56" s="21">
        <v>18274</v>
      </c>
    </row>
    <row r="57" spans="1:4" x14ac:dyDescent="0.3">
      <c r="A57" t="s">
        <v>14</v>
      </c>
      <c r="B57" t="s">
        <v>148</v>
      </c>
      <c r="C57" s="21">
        <v>5520314</v>
      </c>
      <c r="D57" s="21">
        <v>338145</v>
      </c>
    </row>
    <row r="58" spans="1:4" x14ac:dyDescent="0.3">
      <c r="A58" t="s">
        <v>3</v>
      </c>
      <c r="B58" t="s">
        <v>148</v>
      </c>
      <c r="C58" s="21">
        <v>67059887</v>
      </c>
      <c r="D58" s="21">
        <v>643801</v>
      </c>
    </row>
    <row r="59" spans="1:4" x14ac:dyDescent="0.3">
      <c r="A59" t="s">
        <v>204</v>
      </c>
      <c r="B59" t="s">
        <v>153</v>
      </c>
      <c r="C59" s="21">
        <v>2172579</v>
      </c>
      <c r="D59" s="21">
        <v>267667</v>
      </c>
    </row>
    <row r="60" spans="1:4" x14ac:dyDescent="0.3">
      <c r="A60" t="s">
        <v>205</v>
      </c>
      <c r="B60" t="s">
        <v>153</v>
      </c>
      <c r="C60" s="21">
        <v>2347706</v>
      </c>
      <c r="D60" s="21">
        <v>11300</v>
      </c>
    </row>
    <row r="61" spans="1:4" x14ac:dyDescent="0.3">
      <c r="A61" t="s">
        <v>206</v>
      </c>
      <c r="B61" t="s">
        <v>148</v>
      </c>
      <c r="C61" s="21">
        <v>3720382</v>
      </c>
      <c r="D61" s="21">
        <v>69700</v>
      </c>
    </row>
    <row r="62" spans="1:4" x14ac:dyDescent="0.3">
      <c r="A62" t="s">
        <v>5</v>
      </c>
      <c r="B62" t="s">
        <v>148</v>
      </c>
      <c r="C62" s="21">
        <v>83132799</v>
      </c>
      <c r="D62" s="21">
        <v>357022</v>
      </c>
    </row>
    <row r="63" spans="1:4" x14ac:dyDescent="0.3">
      <c r="A63" t="s">
        <v>207</v>
      </c>
      <c r="B63" t="s">
        <v>153</v>
      </c>
      <c r="C63" s="21">
        <v>30417856</v>
      </c>
      <c r="D63" s="21">
        <v>238533</v>
      </c>
    </row>
    <row r="64" spans="1:4" x14ac:dyDescent="0.3">
      <c r="A64" t="s">
        <v>208</v>
      </c>
      <c r="B64" t="s">
        <v>148</v>
      </c>
      <c r="C64" s="21">
        <v>10716322</v>
      </c>
      <c r="D64" s="21">
        <v>131957</v>
      </c>
    </row>
    <row r="65" spans="1:4" x14ac:dyDescent="0.3">
      <c r="A65" t="s">
        <v>209</v>
      </c>
      <c r="B65" t="s">
        <v>155</v>
      </c>
      <c r="C65" s="21">
        <v>112003</v>
      </c>
      <c r="D65" s="21">
        <v>348.5</v>
      </c>
    </row>
    <row r="66" spans="1:4" x14ac:dyDescent="0.3">
      <c r="A66" t="s">
        <v>210</v>
      </c>
      <c r="B66" t="s">
        <v>155</v>
      </c>
      <c r="C66" s="21">
        <v>16604026</v>
      </c>
      <c r="D66" s="21">
        <v>108889</v>
      </c>
    </row>
    <row r="67" spans="1:4" x14ac:dyDescent="0.3">
      <c r="A67" t="s">
        <v>211</v>
      </c>
      <c r="B67" t="s">
        <v>153</v>
      </c>
      <c r="C67" s="21">
        <v>12771246</v>
      </c>
      <c r="D67" s="21">
        <v>245857</v>
      </c>
    </row>
    <row r="68" spans="1:4" x14ac:dyDescent="0.3">
      <c r="A68" t="s">
        <v>212</v>
      </c>
      <c r="B68" t="s">
        <v>153</v>
      </c>
      <c r="C68" s="21">
        <v>1920922</v>
      </c>
      <c r="D68" s="21">
        <v>36125</v>
      </c>
    </row>
    <row r="69" spans="1:4" x14ac:dyDescent="0.3">
      <c r="A69" t="s">
        <v>213</v>
      </c>
      <c r="B69" t="s">
        <v>155</v>
      </c>
      <c r="C69" s="21">
        <v>782766</v>
      </c>
      <c r="D69" s="21">
        <v>214969</v>
      </c>
    </row>
    <row r="70" spans="1:4" x14ac:dyDescent="0.3">
      <c r="A70" t="s">
        <v>214</v>
      </c>
      <c r="B70" t="s">
        <v>155</v>
      </c>
      <c r="C70" s="21">
        <v>11263077</v>
      </c>
      <c r="D70" s="21">
        <v>27750</v>
      </c>
    </row>
    <row r="71" spans="1:4" x14ac:dyDescent="0.3">
      <c r="A71" t="s">
        <v>215</v>
      </c>
      <c r="B71" t="s">
        <v>155</v>
      </c>
      <c r="C71" s="21">
        <v>9746117</v>
      </c>
      <c r="D71" s="21">
        <v>112090</v>
      </c>
    </row>
    <row r="72" spans="1:4" x14ac:dyDescent="0.3">
      <c r="A72" t="s">
        <v>216</v>
      </c>
      <c r="B72" t="s">
        <v>159</v>
      </c>
      <c r="C72" s="21">
        <v>7507400</v>
      </c>
      <c r="D72" s="21">
        <v>1108</v>
      </c>
    </row>
    <row r="73" spans="1:4" x14ac:dyDescent="0.3">
      <c r="A73" t="s">
        <v>217</v>
      </c>
      <c r="B73" t="s">
        <v>148</v>
      </c>
      <c r="C73" s="21">
        <v>9769949</v>
      </c>
      <c r="D73" s="21">
        <v>93028</v>
      </c>
    </row>
    <row r="74" spans="1:4" x14ac:dyDescent="0.3">
      <c r="A74" t="s">
        <v>218</v>
      </c>
      <c r="B74" t="s">
        <v>148</v>
      </c>
      <c r="C74" s="21">
        <v>361313</v>
      </c>
      <c r="D74" s="21">
        <v>103000</v>
      </c>
    </row>
    <row r="75" spans="1:4" x14ac:dyDescent="0.3">
      <c r="A75" t="s">
        <v>219</v>
      </c>
      <c r="B75" t="s">
        <v>146</v>
      </c>
      <c r="C75" s="21">
        <v>1366417754</v>
      </c>
      <c r="D75" s="21">
        <v>3287263</v>
      </c>
    </row>
    <row r="76" spans="1:4" x14ac:dyDescent="0.3">
      <c r="A76" t="s">
        <v>220</v>
      </c>
      <c r="B76" t="s">
        <v>159</v>
      </c>
      <c r="C76" s="21">
        <v>270625568</v>
      </c>
      <c r="D76" s="21">
        <v>1904569</v>
      </c>
    </row>
    <row r="77" spans="1:4" x14ac:dyDescent="0.3">
      <c r="A77" t="s">
        <v>221</v>
      </c>
      <c r="B77" t="s">
        <v>150</v>
      </c>
      <c r="C77" s="21">
        <v>39309783</v>
      </c>
      <c r="D77" s="21">
        <v>438317</v>
      </c>
    </row>
    <row r="78" spans="1:4" x14ac:dyDescent="0.3">
      <c r="A78" t="s">
        <v>222</v>
      </c>
      <c r="B78" t="s">
        <v>148</v>
      </c>
      <c r="C78" s="21">
        <v>4941444</v>
      </c>
      <c r="D78" s="21">
        <v>70273</v>
      </c>
    </row>
    <row r="79" spans="1:4" x14ac:dyDescent="0.3">
      <c r="A79" t="s">
        <v>223</v>
      </c>
      <c r="B79" t="s">
        <v>150</v>
      </c>
      <c r="C79" s="21">
        <v>9053300</v>
      </c>
      <c r="D79" s="21">
        <v>20770</v>
      </c>
    </row>
    <row r="80" spans="1:4" x14ac:dyDescent="0.3">
      <c r="A80" t="s">
        <v>10</v>
      </c>
      <c r="B80" t="s">
        <v>148</v>
      </c>
      <c r="C80" s="21">
        <v>60297396</v>
      </c>
      <c r="D80" s="21">
        <v>301340</v>
      </c>
    </row>
    <row r="81" spans="1:4" x14ac:dyDescent="0.3">
      <c r="A81" t="s">
        <v>224</v>
      </c>
      <c r="B81" t="s">
        <v>155</v>
      </c>
      <c r="C81" s="21">
        <v>2948279</v>
      </c>
      <c r="D81" s="21">
        <v>10991</v>
      </c>
    </row>
    <row r="82" spans="1:4" x14ac:dyDescent="0.3">
      <c r="A82" t="s">
        <v>225</v>
      </c>
      <c r="B82" t="s">
        <v>159</v>
      </c>
      <c r="C82" s="21">
        <v>126264931</v>
      </c>
      <c r="D82" s="21">
        <v>377944</v>
      </c>
    </row>
    <row r="83" spans="1:4" x14ac:dyDescent="0.3">
      <c r="A83" t="s">
        <v>226</v>
      </c>
      <c r="B83" t="s">
        <v>150</v>
      </c>
      <c r="C83" s="21">
        <v>10101694</v>
      </c>
      <c r="D83" s="21">
        <v>89342</v>
      </c>
    </row>
    <row r="84" spans="1:4" x14ac:dyDescent="0.3">
      <c r="A84" t="s">
        <v>227</v>
      </c>
      <c r="B84" t="s">
        <v>148</v>
      </c>
      <c r="C84" s="21">
        <v>18513930</v>
      </c>
      <c r="D84" s="21">
        <v>2724900</v>
      </c>
    </row>
    <row r="85" spans="1:4" x14ac:dyDescent="0.3">
      <c r="A85" t="s">
        <v>228</v>
      </c>
      <c r="B85" t="s">
        <v>153</v>
      </c>
      <c r="C85" s="21">
        <v>52573973</v>
      </c>
      <c r="D85" s="21">
        <v>580367</v>
      </c>
    </row>
    <row r="86" spans="1:4" x14ac:dyDescent="0.3">
      <c r="A86" t="s">
        <v>229</v>
      </c>
      <c r="B86" t="s">
        <v>159</v>
      </c>
      <c r="C86" s="21">
        <v>117606</v>
      </c>
      <c r="D86" s="21">
        <v>811</v>
      </c>
    </row>
    <row r="87" spans="1:4" x14ac:dyDescent="0.3">
      <c r="A87" t="s">
        <v>230</v>
      </c>
      <c r="B87" t="s">
        <v>159</v>
      </c>
      <c r="C87" s="21">
        <v>51709098</v>
      </c>
      <c r="D87" s="21">
        <v>99720</v>
      </c>
    </row>
    <row r="88" spans="1:4" x14ac:dyDescent="0.3">
      <c r="A88" t="s">
        <v>231</v>
      </c>
      <c r="B88" t="s">
        <v>150</v>
      </c>
      <c r="C88" s="21">
        <v>4207083</v>
      </c>
      <c r="D88" s="21">
        <v>17818</v>
      </c>
    </row>
    <row r="89" spans="1:4" x14ac:dyDescent="0.3">
      <c r="A89" t="s">
        <v>232</v>
      </c>
      <c r="B89" t="s">
        <v>148</v>
      </c>
      <c r="C89" s="21">
        <v>6456900</v>
      </c>
      <c r="D89" s="21">
        <v>199951</v>
      </c>
    </row>
    <row r="90" spans="1:4" x14ac:dyDescent="0.3">
      <c r="A90" t="s">
        <v>233</v>
      </c>
      <c r="B90" t="s">
        <v>148</v>
      </c>
      <c r="C90" s="21">
        <v>1912789</v>
      </c>
      <c r="D90" s="21">
        <v>64589</v>
      </c>
    </row>
    <row r="91" spans="1:4" x14ac:dyDescent="0.3">
      <c r="A91" t="s">
        <v>234</v>
      </c>
      <c r="B91" t="s">
        <v>150</v>
      </c>
      <c r="C91" s="21">
        <v>6855713</v>
      </c>
      <c r="D91" s="21">
        <v>10400</v>
      </c>
    </row>
    <row r="92" spans="1:4" x14ac:dyDescent="0.3">
      <c r="A92" t="s">
        <v>235</v>
      </c>
      <c r="B92" t="s">
        <v>153</v>
      </c>
      <c r="C92" s="21">
        <v>2125268</v>
      </c>
      <c r="D92" s="21">
        <v>30355</v>
      </c>
    </row>
    <row r="93" spans="1:4" x14ac:dyDescent="0.3">
      <c r="A93" t="s">
        <v>236</v>
      </c>
      <c r="B93" t="s">
        <v>153</v>
      </c>
      <c r="C93" s="21">
        <v>4937374</v>
      </c>
      <c r="D93" s="21">
        <v>111369</v>
      </c>
    </row>
    <row r="94" spans="1:4" x14ac:dyDescent="0.3">
      <c r="A94" t="s">
        <v>237</v>
      </c>
      <c r="B94" t="s">
        <v>150</v>
      </c>
      <c r="C94" s="21">
        <v>6777452</v>
      </c>
      <c r="D94" s="21">
        <v>1759540</v>
      </c>
    </row>
    <row r="95" spans="1:4" x14ac:dyDescent="0.3">
      <c r="A95" t="s">
        <v>238</v>
      </c>
      <c r="B95" t="s">
        <v>148</v>
      </c>
      <c r="C95" s="21">
        <v>2786844</v>
      </c>
      <c r="D95" s="21">
        <v>65300</v>
      </c>
    </row>
    <row r="96" spans="1:4" x14ac:dyDescent="0.3">
      <c r="A96" t="s">
        <v>239</v>
      </c>
      <c r="B96" t="s">
        <v>148</v>
      </c>
      <c r="C96" s="21">
        <v>619896</v>
      </c>
      <c r="D96" s="21">
        <v>2586</v>
      </c>
    </row>
    <row r="97" spans="1:4" x14ac:dyDescent="0.3">
      <c r="A97" t="s">
        <v>240</v>
      </c>
      <c r="B97" t="s">
        <v>159</v>
      </c>
      <c r="C97" s="21">
        <v>696100</v>
      </c>
      <c r="D97" s="21">
        <v>28.2</v>
      </c>
    </row>
    <row r="98" spans="1:4" x14ac:dyDescent="0.3">
      <c r="A98" t="s">
        <v>241</v>
      </c>
      <c r="B98" t="s">
        <v>153</v>
      </c>
      <c r="C98" s="21">
        <v>26969307</v>
      </c>
      <c r="D98" s="21">
        <v>587041</v>
      </c>
    </row>
    <row r="99" spans="1:4" x14ac:dyDescent="0.3">
      <c r="A99" t="s">
        <v>242</v>
      </c>
      <c r="B99" t="s">
        <v>153</v>
      </c>
      <c r="C99" s="21">
        <v>18628747</v>
      </c>
      <c r="D99" s="21">
        <v>118484</v>
      </c>
    </row>
    <row r="100" spans="1:4" x14ac:dyDescent="0.3">
      <c r="A100" t="s">
        <v>243</v>
      </c>
      <c r="B100" t="s">
        <v>159</v>
      </c>
      <c r="C100" s="21">
        <v>31949777</v>
      </c>
      <c r="D100" s="21">
        <v>329847</v>
      </c>
    </row>
    <row r="101" spans="1:4" x14ac:dyDescent="0.3">
      <c r="A101" t="s">
        <v>244</v>
      </c>
      <c r="B101" t="s">
        <v>146</v>
      </c>
      <c r="C101" s="21">
        <v>530953</v>
      </c>
      <c r="D101" s="21">
        <v>298</v>
      </c>
    </row>
    <row r="102" spans="1:4" x14ac:dyDescent="0.3">
      <c r="A102" t="s">
        <v>245</v>
      </c>
      <c r="B102" t="s">
        <v>153</v>
      </c>
      <c r="C102" s="21">
        <v>19658031</v>
      </c>
      <c r="D102" s="21">
        <v>1240192</v>
      </c>
    </row>
    <row r="103" spans="1:4" x14ac:dyDescent="0.3">
      <c r="A103" t="s">
        <v>246</v>
      </c>
      <c r="B103" t="s">
        <v>150</v>
      </c>
      <c r="C103" s="21">
        <v>502653</v>
      </c>
      <c r="D103" s="21">
        <v>316</v>
      </c>
    </row>
    <row r="104" spans="1:4" x14ac:dyDescent="0.3">
      <c r="A104" t="s">
        <v>247</v>
      </c>
      <c r="B104" t="s">
        <v>159</v>
      </c>
      <c r="C104" s="21">
        <v>58791</v>
      </c>
      <c r="D104" s="21">
        <v>181</v>
      </c>
    </row>
    <row r="105" spans="1:4" x14ac:dyDescent="0.3">
      <c r="A105" t="s">
        <v>248</v>
      </c>
      <c r="B105" t="s">
        <v>153</v>
      </c>
      <c r="C105" s="21">
        <v>4525696</v>
      </c>
      <c r="D105" s="21">
        <v>1030700</v>
      </c>
    </row>
    <row r="106" spans="1:4" x14ac:dyDescent="0.3">
      <c r="A106" t="s">
        <v>249</v>
      </c>
      <c r="B106" t="s">
        <v>153</v>
      </c>
      <c r="C106" s="21">
        <v>1265711</v>
      </c>
      <c r="D106" s="21">
        <v>2040</v>
      </c>
    </row>
    <row r="107" spans="1:4" x14ac:dyDescent="0.3">
      <c r="A107" t="s">
        <v>250</v>
      </c>
      <c r="B107" t="s">
        <v>155</v>
      </c>
      <c r="C107" s="21">
        <v>127575529</v>
      </c>
      <c r="D107" s="21">
        <v>1964375</v>
      </c>
    </row>
    <row r="108" spans="1:4" x14ac:dyDescent="0.3">
      <c r="A108" t="s">
        <v>251</v>
      </c>
      <c r="B108" t="s">
        <v>148</v>
      </c>
      <c r="C108" s="21">
        <v>2657637</v>
      </c>
      <c r="D108" s="21">
        <v>33851</v>
      </c>
    </row>
    <row r="109" spans="1:4" x14ac:dyDescent="0.3">
      <c r="A109" t="s">
        <v>252</v>
      </c>
      <c r="B109" t="s">
        <v>159</v>
      </c>
      <c r="C109" s="21">
        <v>3225167</v>
      </c>
      <c r="D109" s="21">
        <v>1564116</v>
      </c>
    </row>
    <row r="110" spans="1:4" x14ac:dyDescent="0.3">
      <c r="A110" t="s">
        <v>253</v>
      </c>
      <c r="B110" t="s">
        <v>148</v>
      </c>
      <c r="C110" s="21">
        <v>622137</v>
      </c>
      <c r="D110" s="21">
        <v>13812</v>
      </c>
    </row>
    <row r="111" spans="1:4" x14ac:dyDescent="0.3">
      <c r="A111" t="s">
        <v>254</v>
      </c>
      <c r="B111" t="s">
        <v>150</v>
      </c>
      <c r="C111" s="21">
        <v>36471769</v>
      </c>
      <c r="D111" s="21">
        <v>446550</v>
      </c>
    </row>
    <row r="112" spans="1:4" x14ac:dyDescent="0.3">
      <c r="A112" t="s">
        <v>255</v>
      </c>
      <c r="B112" t="s">
        <v>153</v>
      </c>
      <c r="C112" s="21">
        <v>30366036</v>
      </c>
      <c r="D112" s="21">
        <v>799380</v>
      </c>
    </row>
    <row r="113" spans="1:4" x14ac:dyDescent="0.3">
      <c r="A113" t="s">
        <v>256</v>
      </c>
      <c r="B113" t="s">
        <v>159</v>
      </c>
      <c r="C113" s="21">
        <v>54045420</v>
      </c>
      <c r="D113" s="21">
        <v>676578</v>
      </c>
    </row>
    <row r="114" spans="1:4" x14ac:dyDescent="0.3">
      <c r="A114" t="s">
        <v>257</v>
      </c>
      <c r="B114" t="s">
        <v>153</v>
      </c>
      <c r="C114" s="21">
        <v>2494530</v>
      </c>
      <c r="D114" s="21">
        <v>824292</v>
      </c>
    </row>
    <row r="115" spans="1:4" x14ac:dyDescent="0.3">
      <c r="A115" t="s">
        <v>258</v>
      </c>
      <c r="B115" t="s">
        <v>146</v>
      </c>
      <c r="C115" s="21">
        <v>28608710</v>
      </c>
      <c r="D115" s="21">
        <v>147181</v>
      </c>
    </row>
    <row r="116" spans="1:4" x14ac:dyDescent="0.3">
      <c r="A116" t="s">
        <v>4</v>
      </c>
      <c r="B116" t="s">
        <v>148</v>
      </c>
      <c r="C116" s="21">
        <v>17332850</v>
      </c>
      <c r="D116" s="21">
        <v>41543</v>
      </c>
    </row>
    <row r="117" spans="1:4" x14ac:dyDescent="0.3">
      <c r="A117" t="s">
        <v>259</v>
      </c>
      <c r="B117" t="s">
        <v>159</v>
      </c>
      <c r="C117" s="21">
        <v>4699755</v>
      </c>
      <c r="D117" s="21">
        <v>268838</v>
      </c>
    </row>
    <row r="118" spans="1:4" x14ac:dyDescent="0.3">
      <c r="A118" t="s">
        <v>260</v>
      </c>
      <c r="B118" t="s">
        <v>155</v>
      </c>
      <c r="C118" s="21">
        <v>6545502</v>
      </c>
      <c r="D118" s="21">
        <v>130370</v>
      </c>
    </row>
    <row r="119" spans="1:4" x14ac:dyDescent="0.3">
      <c r="A119" t="s">
        <v>261</v>
      </c>
      <c r="B119" t="s">
        <v>153</v>
      </c>
      <c r="C119" s="21">
        <v>23310715</v>
      </c>
      <c r="D119" s="21">
        <v>1267000</v>
      </c>
    </row>
    <row r="120" spans="1:4" x14ac:dyDescent="0.3">
      <c r="A120" t="s">
        <v>262</v>
      </c>
      <c r="B120" t="s">
        <v>153</v>
      </c>
      <c r="C120" s="21">
        <v>200963599</v>
      </c>
      <c r="D120" s="21">
        <v>923768</v>
      </c>
    </row>
    <row r="121" spans="1:4" x14ac:dyDescent="0.3">
      <c r="A121" t="s">
        <v>263</v>
      </c>
      <c r="B121" t="s">
        <v>148</v>
      </c>
      <c r="C121" s="21">
        <v>2107158</v>
      </c>
      <c r="D121" s="21">
        <v>25713</v>
      </c>
    </row>
    <row r="122" spans="1:4" x14ac:dyDescent="0.3">
      <c r="A122" t="s">
        <v>6</v>
      </c>
      <c r="B122" t="s">
        <v>148</v>
      </c>
      <c r="C122" s="21">
        <v>5347896</v>
      </c>
      <c r="D122" s="21">
        <v>323802</v>
      </c>
    </row>
    <row r="123" spans="1:4" x14ac:dyDescent="0.3">
      <c r="A123" t="s">
        <v>264</v>
      </c>
      <c r="B123" t="s">
        <v>150</v>
      </c>
      <c r="C123" s="21">
        <v>4974986</v>
      </c>
      <c r="D123" s="21">
        <v>309500</v>
      </c>
    </row>
    <row r="124" spans="1:4" x14ac:dyDescent="0.3">
      <c r="A124" t="s">
        <v>265</v>
      </c>
      <c r="B124" t="s">
        <v>146</v>
      </c>
      <c r="C124" s="21">
        <v>216565318</v>
      </c>
      <c r="D124" s="21">
        <v>796095</v>
      </c>
    </row>
    <row r="125" spans="1:4" x14ac:dyDescent="0.3">
      <c r="A125" t="s">
        <v>266</v>
      </c>
      <c r="B125" t="s">
        <v>159</v>
      </c>
      <c r="C125" s="21">
        <v>18008</v>
      </c>
      <c r="D125" s="21">
        <v>459</v>
      </c>
    </row>
    <row r="126" spans="1:4" x14ac:dyDescent="0.3">
      <c r="A126" t="s">
        <v>267</v>
      </c>
      <c r="B126" t="s">
        <v>155</v>
      </c>
      <c r="C126" s="21">
        <v>4246439</v>
      </c>
      <c r="D126" s="21">
        <v>75420</v>
      </c>
    </row>
    <row r="127" spans="1:4" x14ac:dyDescent="0.3">
      <c r="A127" t="s">
        <v>268</v>
      </c>
      <c r="B127" t="s">
        <v>159</v>
      </c>
      <c r="C127" s="21">
        <v>8776109</v>
      </c>
      <c r="D127" s="21">
        <v>462840</v>
      </c>
    </row>
    <row r="128" spans="1:4" x14ac:dyDescent="0.3">
      <c r="A128" t="s">
        <v>269</v>
      </c>
      <c r="B128" t="s">
        <v>155</v>
      </c>
      <c r="C128" s="21">
        <v>7044636</v>
      </c>
      <c r="D128" s="21">
        <v>406752</v>
      </c>
    </row>
    <row r="129" spans="1:4" x14ac:dyDescent="0.3">
      <c r="A129" t="s">
        <v>270</v>
      </c>
      <c r="B129" t="s">
        <v>155</v>
      </c>
      <c r="C129" s="21">
        <v>32510453</v>
      </c>
      <c r="D129" s="21">
        <v>1285216</v>
      </c>
    </row>
    <row r="130" spans="1:4" x14ac:dyDescent="0.3">
      <c r="A130" t="s">
        <v>271</v>
      </c>
      <c r="B130" t="s">
        <v>159</v>
      </c>
      <c r="C130" s="21">
        <v>108116615</v>
      </c>
      <c r="D130" s="21">
        <v>300000</v>
      </c>
    </row>
    <row r="131" spans="1:4" x14ac:dyDescent="0.3">
      <c r="A131" t="s">
        <v>272</v>
      </c>
      <c r="B131" t="s">
        <v>148</v>
      </c>
      <c r="C131" s="21">
        <v>37970874</v>
      </c>
      <c r="D131" s="21">
        <v>312685</v>
      </c>
    </row>
    <row r="132" spans="1:4" x14ac:dyDescent="0.3">
      <c r="A132" t="s">
        <v>9</v>
      </c>
      <c r="B132" t="s">
        <v>148</v>
      </c>
      <c r="C132" s="21">
        <v>10269417</v>
      </c>
      <c r="D132" s="21">
        <v>92212</v>
      </c>
    </row>
    <row r="133" spans="1:4" x14ac:dyDescent="0.3">
      <c r="A133" t="s">
        <v>273</v>
      </c>
      <c r="B133" t="s">
        <v>155</v>
      </c>
      <c r="C133" s="21">
        <v>3193694</v>
      </c>
      <c r="D133" s="21">
        <v>13791</v>
      </c>
    </row>
    <row r="134" spans="1:4" x14ac:dyDescent="0.3">
      <c r="A134" t="s">
        <v>274</v>
      </c>
      <c r="B134" t="s">
        <v>150</v>
      </c>
      <c r="C134" s="21">
        <v>2832067</v>
      </c>
      <c r="D134" s="21">
        <v>11586</v>
      </c>
    </row>
    <row r="135" spans="1:4" x14ac:dyDescent="0.3">
      <c r="A135" t="s">
        <v>275</v>
      </c>
      <c r="B135" t="s">
        <v>148</v>
      </c>
      <c r="C135" s="21">
        <v>19356544</v>
      </c>
      <c r="D135" s="21">
        <v>238391</v>
      </c>
    </row>
    <row r="136" spans="1:4" x14ac:dyDescent="0.3">
      <c r="A136" t="s">
        <v>276</v>
      </c>
      <c r="B136" t="s">
        <v>148</v>
      </c>
      <c r="C136" s="21">
        <v>144373535</v>
      </c>
      <c r="D136" s="21">
        <v>17098240</v>
      </c>
    </row>
    <row r="137" spans="1:4" x14ac:dyDescent="0.3">
      <c r="A137" t="s">
        <v>277</v>
      </c>
      <c r="B137" t="s">
        <v>153</v>
      </c>
      <c r="C137" s="21">
        <v>12626950</v>
      </c>
      <c r="D137" s="21">
        <v>26338</v>
      </c>
    </row>
    <row r="138" spans="1:4" x14ac:dyDescent="0.3">
      <c r="A138" t="s">
        <v>278</v>
      </c>
      <c r="B138" t="s">
        <v>159</v>
      </c>
      <c r="C138" s="21">
        <v>202506</v>
      </c>
      <c r="D138" s="21">
        <v>2831</v>
      </c>
    </row>
    <row r="139" spans="1:4" x14ac:dyDescent="0.3">
      <c r="A139" t="s">
        <v>279</v>
      </c>
      <c r="B139" t="s">
        <v>153</v>
      </c>
      <c r="C139" s="21">
        <v>215056</v>
      </c>
      <c r="D139" s="21">
        <v>964</v>
      </c>
    </row>
    <row r="140" spans="1:4" x14ac:dyDescent="0.3">
      <c r="A140" t="s">
        <v>280</v>
      </c>
      <c r="B140" t="s">
        <v>150</v>
      </c>
      <c r="C140" s="21">
        <v>34268528</v>
      </c>
      <c r="D140" s="21">
        <v>2149690</v>
      </c>
    </row>
    <row r="141" spans="1:4" x14ac:dyDescent="0.3">
      <c r="A141" t="s">
        <v>281</v>
      </c>
      <c r="B141" t="s">
        <v>153</v>
      </c>
      <c r="C141" s="21">
        <v>16296364</v>
      </c>
      <c r="D141" s="21">
        <v>196722</v>
      </c>
    </row>
    <row r="142" spans="1:4" x14ac:dyDescent="0.3">
      <c r="A142" t="s">
        <v>282</v>
      </c>
      <c r="B142" t="s">
        <v>148</v>
      </c>
      <c r="C142" s="21">
        <v>6944975</v>
      </c>
      <c r="D142" s="21">
        <v>77474</v>
      </c>
    </row>
    <row r="143" spans="1:4" x14ac:dyDescent="0.3">
      <c r="A143" t="s">
        <v>283</v>
      </c>
      <c r="B143" t="s">
        <v>153</v>
      </c>
      <c r="C143" s="21">
        <v>97625</v>
      </c>
      <c r="D143" s="21">
        <v>455</v>
      </c>
    </row>
    <row r="144" spans="1:4" x14ac:dyDescent="0.3">
      <c r="A144" t="s">
        <v>284</v>
      </c>
      <c r="B144" t="s">
        <v>153</v>
      </c>
      <c r="C144" s="21">
        <v>7813215</v>
      </c>
      <c r="D144" s="21">
        <v>71740</v>
      </c>
    </row>
    <row r="145" spans="1:4" x14ac:dyDescent="0.3">
      <c r="A145" t="s">
        <v>285</v>
      </c>
      <c r="B145" t="s">
        <v>159</v>
      </c>
      <c r="C145" s="21">
        <v>5703569</v>
      </c>
      <c r="D145" s="21">
        <v>716.1</v>
      </c>
    </row>
    <row r="146" spans="1:4" x14ac:dyDescent="0.3">
      <c r="A146" t="s">
        <v>286</v>
      </c>
      <c r="B146" t="s">
        <v>148</v>
      </c>
      <c r="C146" s="21">
        <v>5454073</v>
      </c>
      <c r="D146" s="21">
        <v>49035</v>
      </c>
    </row>
    <row r="147" spans="1:4" x14ac:dyDescent="0.3">
      <c r="A147" t="s">
        <v>287</v>
      </c>
      <c r="B147" t="s">
        <v>148</v>
      </c>
      <c r="C147" s="21">
        <v>2087946</v>
      </c>
      <c r="D147" s="21">
        <v>20273</v>
      </c>
    </row>
    <row r="148" spans="1:4" x14ac:dyDescent="0.3">
      <c r="A148" t="s">
        <v>288</v>
      </c>
      <c r="B148" t="s">
        <v>159</v>
      </c>
      <c r="C148" s="21">
        <v>669823</v>
      </c>
      <c r="D148" s="21">
        <v>28896</v>
      </c>
    </row>
    <row r="149" spans="1:4" x14ac:dyDescent="0.3">
      <c r="A149" t="s">
        <v>289</v>
      </c>
      <c r="B149" t="s">
        <v>153</v>
      </c>
      <c r="C149" s="21">
        <v>15442905</v>
      </c>
      <c r="D149" s="21">
        <v>637657</v>
      </c>
    </row>
    <row r="150" spans="1:4" x14ac:dyDescent="0.3">
      <c r="A150" t="s">
        <v>290</v>
      </c>
      <c r="B150" t="s">
        <v>153</v>
      </c>
      <c r="C150" s="21">
        <v>58558270</v>
      </c>
      <c r="D150" s="21">
        <v>1219090</v>
      </c>
    </row>
    <row r="151" spans="1:4" x14ac:dyDescent="0.3">
      <c r="A151" t="s">
        <v>8</v>
      </c>
      <c r="B151" t="s">
        <v>148</v>
      </c>
      <c r="C151" s="21">
        <v>47076781</v>
      </c>
      <c r="D151" s="21">
        <v>505370</v>
      </c>
    </row>
    <row r="152" spans="1:4" x14ac:dyDescent="0.3">
      <c r="A152" t="s">
        <v>291</v>
      </c>
      <c r="B152" t="s">
        <v>146</v>
      </c>
      <c r="C152" s="21">
        <v>21803000</v>
      </c>
      <c r="D152" s="21">
        <v>65610</v>
      </c>
    </row>
    <row r="153" spans="1:4" x14ac:dyDescent="0.3">
      <c r="A153" t="s">
        <v>292</v>
      </c>
      <c r="B153" t="s">
        <v>155</v>
      </c>
      <c r="C153" s="21">
        <v>52823</v>
      </c>
      <c r="D153" s="21">
        <v>261</v>
      </c>
    </row>
    <row r="154" spans="1:4" x14ac:dyDescent="0.3">
      <c r="A154" t="s">
        <v>293</v>
      </c>
      <c r="B154" t="s">
        <v>155</v>
      </c>
      <c r="C154" s="21">
        <v>182790</v>
      </c>
      <c r="D154" s="21">
        <v>616</v>
      </c>
    </row>
    <row r="155" spans="1:4" x14ac:dyDescent="0.3">
      <c r="A155" t="s">
        <v>294</v>
      </c>
      <c r="B155" t="s">
        <v>155</v>
      </c>
      <c r="C155" s="21">
        <v>110589</v>
      </c>
      <c r="D155" s="21">
        <v>389</v>
      </c>
    </row>
    <row r="156" spans="1:4" x14ac:dyDescent="0.3">
      <c r="A156" t="s">
        <v>295</v>
      </c>
      <c r="B156" t="s">
        <v>155</v>
      </c>
      <c r="C156" s="21">
        <v>581372</v>
      </c>
      <c r="D156" s="21">
        <v>163820</v>
      </c>
    </row>
    <row r="157" spans="1:4" x14ac:dyDescent="0.3">
      <c r="A157" t="s">
        <v>13</v>
      </c>
      <c r="B157" t="s">
        <v>148</v>
      </c>
      <c r="C157" s="21">
        <v>10285453</v>
      </c>
      <c r="D157" s="21">
        <v>450295</v>
      </c>
    </row>
    <row r="158" spans="1:4" x14ac:dyDescent="0.3">
      <c r="A158" t="s">
        <v>7</v>
      </c>
      <c r="B158" t="s">
        <v>148</v>
      </c>
      <c r="C158" s="21">
        <v>8574832</v>
      </c>
      <c r="D158" s="21">
        <v>41277</v>
      </c>
    </row>
    <row r="159" spans="1:4" x14ac:dyDescent="0.3">
      <c r="A159" t="s">
        <v>296</v>
      </c>
      <c r="B159" t="s">
        <v>148</v>
      </c>
      <c r="C159" s="21">
        <v>9321018</v>
      </c>
      <c r="D159" s="21">
        <v>144100</v>
      </c>
    </row>
    <row r="160" spans="1:4" x14ac:dyDescent="0.3">
      <c r="A160" t="s">
        <v>297</v>
      </c>
      <c r="B160" t="s">
        <v>153</v>
      </c>
      <c r="C160" s="21">
        <v>58005463</v>
      </c>
      <c r="D160" s="21">
        <v>947300</v>
      </c>
    </row>
    <row r="161" spans="1:4" x14ac:dyDescent="0.3">
      <c r="A161" t="s">
        <v>298</v>
      </c>
      <c r="B161" t="s">
        <v>159</v>
      </c>
      <c r="C161" s="21">
        <v>69625582</v>
      </c>
      <c r="D161" s="21">
        <v>513120</v>
      </c>
    </row>
    <row r="162" spans="1:4" x14ac:dyDescent="0.3">
      <c r="A162" t="s">
        <v>299</v>
      </c>
      <c r="B162" t="s">
        <v>159</v>
      </c>
      <c r="C162" s="21">
        <v>3500000</v>
      </c>
      <c r="D162" s="21">
        <v>14874</v>
      </c>
    </row>
    <row r="163" spans="1:4" x14ac:dyDescent="0.3">
      <c r="A163" t="s">
        <v>300</v>
      </c>
      <c r="B163" t="s">
        <v>153</v>
      </c>
      <c r="C163" s="21">
        <v>8082366</v>
      </c>
      <c r="D163" s="21">
        <v>56785</v>
      </c>
    </row>
    <row r="164" spans="1:4" x14ac:dyDescent="0.3">
      <c r="A164" t="s">
        <v>301</v>
      </c>
      <c r="B164" t="s">
        <v>159</v>
      </c>
      <c r="C164" s="21">
        <v>104494</v>
      </c>
      <c r="D164" s="21">
        <v>747</v>
      </c>
    </row>
    <row r="165" spans="1:4" x14ac:dyDescent="0.3">
      <c r="A165" t="s">
        <v>302</v>
      </c>
      <c r="B165" t="s">
        <v>155</v>
      </c>
      <c r="C165" s="21">
        <v>1394973</v>
      </c>
      <c r="D165" s="21">
        <v>5128</v>
      </c>
    </row>
    <row r="166" spans="1:4" x14ac:dyDescent="0.3">
      <c r="A166" t="s">
        <v>303</v>
      </c>
      <c r="B166" t="s">
        <v>150</v>
      </c>
      <c r="C166" s="21">
        <v>11694719</v>
      </c>
      <c r="D166" s="21">
        <v>163610</v>
      </c>
    </row>
    <row r="167" spans="1:4" x14ac:dyDescent="0.3">
      <c r="A167" t="s">
        <v>304</v>
      </c>
      <c r="B167" t="s">
        <v>148</v>
      </c>
      <c r="C167" s="21">
        <v>83429615</v>
      </c>
      <c r="D167" s="21">
        <v>783562</v>
      </c>
    </row>
    <row r="168" spans="1:4" x14ac:dyDescent="0.3">
      <c r="A168" t="s">
        <v>305</v>
      </c>
      <c r="B168" t="s">
        <v>148</v>
      </c>
      <c r="C168" s="21">
        <v>5942089</v>
      </c>
      <c r="D168" s="21">
        <v>488100</v>
      </c>
    </row>
    <row r="169" spans="1:4" x14ac:dyDescent="0.3">
      <c r="A169" t="s">
        <v>306</v>
      </c>
      <c r="B169" t="s">
        <v>155</v>
      </c>
      <c r="C169" s="21">
        <v>42953</v>
      </c>
      <c r="D169" s="21">
        <v>948</v>
      </c>
    </row>
    <row r="170" spans="1:4" x14ac:dyDescent="0.3">
      <c r="A170" t="s">
        <v>307</v>
      </c>
      <c r="B170" t="s">
        <v>159</v>
      </c>
      <c r="C170" s="21">
        <v>11646</v>
      </c>
      <c r="D170" s="21">
        <v>26</v>
      </c>
    </row>
    <row r="171" spans="1:4" x14ac:dyDescent="0.3">
      <c r="A171" t="s">
        <v>308</v>
      </c>
      <c r="B171" t="s">
        <v>153</v>
      </c>
      <c r="C171" s="21">
        <v>44269594</v>
      </c>
      <c r="D171" s="21">
        <v>241038</v>
      </c>
    </row>
    <row r="172" spans="1:4" x14ac:dyDescent="0.3">
      <c r="A172" t="s">
        <v>309</v>
      </c>
      <c r="B172" t="s">
        <v>148</v>
      </c>
      <c r="C172" s="21">
        <v>44385155</v>
      </c>
      <c r="D172" s="21">
        <v>603550</v>
      </c>
    </row>
    <row r="173" spans="1:4" x14ac:dyDescent="0.3">
      <c r="A173" t="s">
        <v>310</v>
      </c>
      <c r="B173" t="s">
        <v>150</v>
      </c>
      <c r="C173" s="21">
        <v>9770529</v>
      </c>
      <c r="D173" s="21">
        <v>83600</v>
      </c>
    </row>
    <row r="174" spans="1:4" x14ac:dyDescent="0.3">
      <c r="A174" t="s">
        <v>2</v>
      </c>
      <c r="B174" t="s">
        <v>148</v>
      </c>
      <c r="C174" s="21">
        <v>66834405</v>
      </c>
      <c r="D174" s="21">
        <v>243610</v>
      </c>
    </row>
    <row r="175" spans="1:4" x14ac:dyDescent="0.3">
      <c r="A175" t="s">
        <v>311</v>
      </c>
      <c r="B175" t="s">
        <v>179</v>
      </c>
      <c r="C175" s="21">
        <v>328239523</v>
      </c>
      <c r="D175" s="21">
        <v>9833517</v>
      </c>
    </row>
    <row r="176" spans="1:4" x14ac:dyDescent="0.3">
      <c r="A176" t="s">
        <v>312</v>
      </c>
      <c r="B176" t="s">
        <v>155</v>
      </c>
      <c r="C176" s="21">
        <v>3461734</v>
      </c>
      <c r="D176" s="21">
        <v>176215</v>
      </c>
    </row>
    <row r="177" spans="1:4" x14ac:dyDescent="0.3">
      <c r="A177" t="s">
        <v>313</v>
      </c>
      <c r="B177" t="s">
        <v>148</v>
      </c>
      <c r="C177" s="21">
        <v>33580650</v>
      </c>
      <c r="D177" s="21">
        <v>447400</v>
      </c>
    </row>
    <row r="178" spans="1:4" x14ac:dyDescent="0.3">
      <c r="A178" t="s">
        <v>314</v>
      </c>
      <c r="B178" t="s">
        <v>159</v>
      </c>
      <c r="C178" s="21">
        <v>299882</v>
      </c>
      <c r="D178" s="21">
        <v>12189</v>
      </c>
    </row>
    <row r="179" spans="1:4" x14ac:dyDescent="0.3">
      <c r="A179" t="s">
        <v>315</v>
      </c>
      <c r="B179" t="s">
        <v>159</v>
      </c>
      <c r="C179" s="21">
        <v>96462106</v>
      </c>
      <c r="D179" s="21">
        <v>331210</v>
      </c>
    </row>
    <row r="180" spans="1:4" x14ac:dyDescent="0.3">
      <c r="A180" t="s">
        <v>316</v>
      </c>
      <c r="B180" t="s">
        <v>150</v>
      </c>
      <c r="C180" s="21">
        <v>29161922</v>
      </c>
      <c r="D180" s="21">
        <v>527968</v>
      </c>
    </row>
    <row r="181" spans="1:4" x14ac:dyDescent="0.3">
      <c r="A181" t="s">
        <v>317</v>
      </c>
      <c r="B181" t="s">
        <v>153</v>
      </c>
      <c r="C181" s="21">
        <v>17861030</v>
      </c>
      <c r="D181" s="21">
        <v>752618</v>
      </c>
    </row>
    <row r="182" spans="1:4" x14ac:dyDescent="0.3">
      <c r="A182" t="s">
        <v>318</v>
      </c>
      <c r="B182" t="s">
        <v>153</v>
      </c>
      <c r="C182" s="21">
        <v>14645468</v>
      </c>
      <c r="D182" s="21">
        <v>390757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94E2-723D-4954-81B3-83B1097F9523}">
  <sheetPr>
    <tabColor theme="9" tint="0.59999389629810485"/>
  </sheetPr>
  <dimension ref="A3:D11"/>
  <sheetViews>
    <sheetView workbookViewId="0">
      <selection activeCell="B3" sqref="B3"/>
    </sheetView>
  </sheetViews>
  <sheetFormatPr defaultRowHeight="14.4" x14ac:dyDescent="0.3"/>
  <cols>
    <col min="1" max="1" width="23" bestFit="1" customWidth="1"/>
    <col min="2" max="2" width="16.77734375" bestFit="1" customWidth="1"/>
    <col min="3" max="3" width="11.33203125" bestFit="1" customWidth="1"/>
    <col min="4" max="4" width="23.6640625" bestFit="1" customWidth="1"/>
  </cols>
  <sheetData>
    <row r="3" spans="1:4" x14ac:dyDescent="0.3">
      <c r="A3" s="11" t="s">
        <v>144</v>
      </c>
      <c r="B3" t="s">
        <v>320</v>
      </c>
      <c r="C3" t="s">
        <v>322</v>
      </c>
      <c r="D3" t="s">
        <v>654</v>
      </c>
    </row>
    <row r="4" spans="1:4" x14ac:dyDescent="0.3">
      <c r="A4" t="s">
        <v>159</v>
      </c>
      <c r="B4" s="21">
        <v>2285279040</v>
      </c>
      <c r="C4" s="21">
        <v>24434902.300000001</v>
      </c>
      <c r="D4" s="21">
        <v>93.525196538232109</v>
      </c>
    </row>
    <row r="5" spans="1:4" x14ac:dyDescent="0.3">
      <c r="A5" t="s">
        <v>146</v>
      </c>
      <c r="B5" s="21">
        <v>1835776742</v>
      </c>
      <c r="C5" s="21">
        <v>5135531</v>
      </c>
      <c r="D5" s="21">
        <v>357.46580869631595</v>
      </c>
    </row>
    <row r="6" spans="1:4" x14ac:dyDescent="0.3">
      <c r="A6" t="s">
        <v>153</v>
      </c>
      <c r="B6" s="21">
        <v>1049530538</v>
      </c>
      <c r="C6" s="21">
        <v>21646744</v>
      </c>
      <c r="D6" s="21">
        <v>48.484452811933288</v>
      </c>
    </row>
    <row r="7" spans="1:4" x14ac:dyDescent="0.3">
      <c r="A7" t="s">
        <v>148</v>
      </c>
      <c r="B7" s="21">
        <v>918863253</v>
      </c>
      <c r="C7" s="21">
        <v>28062555</v>
      </c>
      <c r="D7" s="21">
        <v>32.743392502927833</v>
      </c>
    </row>
    <row r="8" spans="1:4" x14ac:dyDescent="0.3">
      <c r="A8" t="s">
        <v>155</v>
      </c>
      <c r="B8" s="21">
        <v>606875478</v>
      </c>
      <c r="C8" s="21">
        <v>19416627.399999999</v>
      </c>
      <c r="D8" s="21">
        <v>31.255452633344554</v>
      </c>
    </row>
    <row r="9" spans="1:4" x14ac:dyDescent="0.3">
      <c r="A9" t="s">
        <v>179</v>
      </c>
      <c r="B9" s="21">
        <v>365828785</v>
      </c>
      <c r="C9" s="21">
        <v>19818187</v>
      </c>
      <c r="D9" s="21">
        <v>18.459245792766009</v>
      </c>
    </row>
    <row r="10" spans="1:4" x14ac:dyDescent="0.3">
      <c r="A10" t="s">
        <v>150</v>
      </c>
      <c r="B10" s="21">
        <v>352038057</v>
      </c>
      <c r="C10" s="21">
        <v>9436163.3000000007</v>
      </c>
      <c r="D10" s="21">
        <v>37.307329876328019</v>
      </c>
    </row>
    <row r="11" spans="1:4" x14ac:dyDescent="0.3">
      <c r="A11" t="s">
        <v>28</v>
      </c>
      <c r="B11" s="21">
        <v>7414191893</v>
      </c>
      <c r="C11" s="21">
        <v>127950709.99999999</v>
      </c>
      <c r="D11" s="21">
        <v>57.945687780865001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28BE-B4AC-4DE5-9D0B-3ED73CCA27E0}">
  <sheetPr>
    <tabColor theme="6" tint="-0.249977111117893"/>
  </sheetPr>
  <dimension ref="A1"/>
  <sheetViews>
    <sheetView showGridLines="0" topLeftCell="A4" workbookViewId="0">
      <selection activeCell="Q14" sqref="Q14"/>
    </sheetView>
  </sheetViews>
  <sheetFormatPr defaultRowHeight="14.4" x14ac:dyDescent="0.3"/>
  <cols>
    <col min="1" max="1" width="2.88671875" customWidth="1"/>
  </cols>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2ECD-AB14-41B7-80C9-840AFDD63E48}">
  <sheetPr>
    <tabColor theme="6" tint="0.59999389629810485"/>
  </sheetPr>
  <dimension ref="A1:I101"/>
  <sheetViews>
    <sheetView workbookViewId="0">
      <selection activeCell="E15" sqref="E15"/>
    </sheetView>
  </sheetViews>
  <sheetFormatPr defaultRowHeight="14.4" x14ac:dyDescent="0.3"/>
  <cols>
    <col min="1" max="1" width="9.109375" customWidth="1"/>
    <col min="2" max="2" width="11.44140625" customWidth="1"/>
    <col min="3" max="4" width="17.109375" customWidth="1"/>
    <col min="5" max="5" width="41.44140625" bestFit="1" customWidth="1"/>
    <col min="6" max="6" width="9.109375" customWidth="1"/>
    <col min="7" max="7" width="14.33203125" customWidth="1"/>
    <col min="8" max="8" width="17.109375" customWidth="1"/>
    <col min="9" max="9" width="9.109375" customWidth="1"/>
  </cols>
  <sheetData>
    <row r="1" spans="1:9" x14ac:dyDescent="0.3">
      <c r="A1" s="23" t="s">
        <v>0</v>
      </c>
      <c r="B1" s="23" t="s">
        <v>323</v>
      </c>
      <c r="C1" s="23" t="s">
        <v>324</v>
      </c>
      <c r="D1" s="23" t="s">
        <v>325</v>
      </c>
      <c r="E1" s="23" t="s">
        <v>326</v>
      </c>
      <c r="F1" s="23" t="s">
        <v>439</v>
      </c>
      <c r="G1" s="23" t="s">
        <v>437</v>
      </c>
      <c r="H1" s="23" t="s">
        <v>438</v>
      </c>
      <c r="I1" s="23" t="s">
        <v>137</v>
      </c>
    </row>
    <row r="2" spans="1:9" x14ac:dyDescent="0.3">
      <c r="A2" t="s">
        <v>3</v>
      </c>
      <c r="B2" t="s">
        <v>358</v>
      </c>
      <c r="C2" t="s">
        <v>359</v>
      </c>
      <c r="D2" t="s">
        <v>329</v>
      </c>
      <c r="E2" t="s">
        <v>367</v>
      </c>
      <c r="F2" s="1">
        <v>2009</v>
      </c>
      <c r="G2" s="1">
        <v>26</v>
      </c>
      <c r="H2" s="1">
        <v>15</v>
      </c>
      <c r="I2" s="24">
        <v>10</v>
      </c>
    </row>
    <row r="3" spans="1:9" x14ac:dyDescent="0.3">
      <c r="A3" t="s">
        <v>3</v>
      </c>
      <c r="B3" t="s">
        <v>358</v>
      </c>
      <c r="C3" t="s">
        <v>359</v>
      </c>
      <c r="D3" t="s">
        <v>329</v>
      </c>
      <c r="E3" t="s">
        <v>401</v>
      </c>
      <c r="F3" s="1">
        <v>2009</v>
      </c>
      <c r="G3" s="1">
        <v>50</v>
      </c>
      <c r="H3" s="1">
        <v>10</v>
      </c>
      <c r="I3" s="24">
        <v>22</v>
      </c>
    </row>
    <row r="4" spans="1:9" x14ac:dyDescent="0.3">
      <c r="A4" t="s">
        <v>3</v>
      </c>
      <c r="B4" t="s">
        <v>358</v>
      </c>
      <c r="C4" t="s">
        <v>359</v>
      </c>
      <c r="D4" t="s">
        <v>329</v>
      </c>
      <c r="E4" t="s">
        <v>368</v>
      </c>
      <c r="F4" s="1">
        <v>2010</v>
      </c>
      <c r="G4" s="1">
        <v>34</v>
      </c>
      <c r="H4" s="1">
        <v>15</v>
      </c>
      <c r="I4" s="24">
        <v>12</v>
      </c>
    </row>
    <row r="5" spans="1:9" x14ac:dyDescent="0.3">
      <c r="A5" t="s">
        <v>3</v>
      </c>
      <c r="B5" t="s">
        <v>358</v>
      </c>
      <c r="C5" t="s">
        <v>359</v>
      </c>
      <c r="D5" t="s">
        <v>329</v>
      </c>
      <c r="E5" t="s">
        <v>360</v>
      </c>
      <c r="F5" s="1">
        <v>2010</v>
      </c>
      <c r="G5" s="1">
        <v>15</v>
      </c>
      <c r="H5" s="1">
        <v>10</v>
      </c>
      <c r="I5" s="24">
        <v>20</v>
      </c>
    </row>
    <row r="6" spans="1:9" x14ac:dyDescent="0.3">
      <c r="A6" t="s">
        <v>3</v>
      </c>
      <c r="B6" t="s">
        <v>358</v>
      </c>
      <c r="C6" t="s">
        <v>359</v>
      </c>
      <c r="D6" t="s">
        <v>329</v>
      </c>
      <c r="E6" t="s">
        <v>411</v>
      </c>
      <c r="F6" s="1">
        <v>2010</v>
      </c>
      <c r="G6" s="1">
        <v>28</v>
      </c>
      <c r="H6" s="1">
        <v>15</v>
      </c>
      <c r="I6" s="24">
        <v>13</v>
      </c>
    </row>
    <row r="7" spans="1:9" x14ac:dyDescent="0.3">
      <c r="A7" t="s">
        <v>3</v>
      </c>
      <c r="B7" t="s">
        <v>358</v>
      </c>
      <c r="C7" t="s">
        <v>359</v>
      </c>
      <c r="D7" t="s">
        <v>329</v>
      </c>
      <c r="E7" t="s">
        <v>369</v>
      </c>
      <c r="F7" s="1">
        <v>2012</v>
      </c>
      <c r="G7" s="1">
        <v>36</v>
      </c>
      <c r="H7" s="1">
        <v>15</v>
      </c>
      <c r="I7" s="24">
        <v>12</v>
      </c>
    </row>
    <row r="8" spans="1:9" x14ac:dyDescent="0.3">
      <c r="A8" t="s">
        <v>3</v>
      </c>
      <c r="B8" t="s">
        <v>358</v>
      </c>
      <c r="C8" t="s">
        <v>359</v>
      </c>
      <c r="D8" t="s">
        <v>329</v>
      </c>
      <c r="E8" t="s">
        <v>370</v>
      </c>
      <c r="F8" s="1">
        <v>2014</v>
      </c>
      <c r="G8" s="1">
        <v>42</v>
      </c>
      <c r="H8" s="1">
        <v>15</v>
      </c>
      <c r="I8" s="24">
        <v>12</v>
      </c>
    </row>
    <row r="9" spans="1:9" x14ac:dyDescent="0.3">
      <c r="A9" t="s">
        <v>3</v>
      </c>
      <c r="B9" t="s">
        <v>358</v>
      </c>
      <c r="C9" t="s">
        <v>359</v>
      </c>
      <c r="D9" t="s">
        <v>329</v>
      </c>
      <c r="E9" t="s">
        <v>398</v>
      </c>
      <c r="F9" s="1">
        <v>2014</v>
      </c>
      <c r="G9" s="1">
        <v>16</v>
      </c>
      <c r="H9" s="1">
        <v>10</v>
      </c>
      <c r="I9" s="24">
        <v>20</v>
      </c>
    </row>
    <row r="10" spans="1:9" x14ac:dyDescent="0.3">
      <c r="A10" t="s">
        <v>3</v>
      </c>
      <c r="B10" t="s">
        <v>358</v>
      </c>
      <c r="C10" t="s">
        <v>359</v>
      </c>
      <c r="D10" t="s">
        <v>329</v>
      </c>
      <c r="E10" t="s">
        <v>400</v>
      </c>
      <c r="F10" s="1">
        <v>2014</v>
      </c>
      <c r="G10" s="1">
        <v>25</v>
      </c>
      <c r="H10" s="1">
        <v>15</v>
      </c>
      <c r="I10" s="24">
        <v>17</v>
      </c>
    </row>
    <row r="11" spans="1:9" x14ac:dyDescent="0.3">
      <c r="A11" t="s">
        <v>3</v>
      </c>
      <c r="B11" t="s">
        <v>358</v>
      </c>
      <c r="C11" t="s">
        <v>359</v>
      </c>
      <c r="D11" t="s">
        <v>329</v>
      </c>
      <c r="E11" t="s">
        <v>380</v>
      </c>
      <c r="F11" s="1">
        <v>2015</v>
      </c>
      <c r="G11" s="1">
        <v>31</v>
      </c>
      <c r="H11" s="1">
        <v>15</v>
      </c>
      <c r="I11" s="24">
        <v>13</v>
      </c>
    </row>
    <row r="12" spans="1:9" x14ac:dyDescent="0.3">
      <c r="A12" t="s">
        <v>3</v>
      </c>
      <c r="B12" t="s">
        <v>358</v>
      </c>
      <c r="C12" t="s">
        <v>359</v>
      </c>
      <c r="D12" t="s">
        <v>329</v>
      </c>
      <c r="E12" t="s">
        <v>361</v>
      </c>
      <c r="F12" s="1">
        <v>2015</v>
      </c>
      <c r="G12" s="1">
        <v>22</v>
      </c>
      <c r="H12" s="1">
        <v>10</v>
      </c>
      <c r="I12" s="24">
        <v>25</v>
      </c>
    </row>
    <row r="13" spans="1:9" x14ac:dyDescent="0.3">
      <c r="A13" t="s">
        <v>3</v>
      </c>
      <c r="B13" t="s">
        <v>340</v>
      </c>
      <c r="C13" t="s">
        <v>341</v>
      </c>
      <c r="D13" t="s">
        <v>342</v>
      </c>
      <c r="E13" t="s">
        <v>394</v>
      </c>
      <c r="F13" s="1">
        <v>2008</v>
      </c>
      <c r="G13" s="1">
        <v>36</v>
      </c>
      <c r="H13" s="1">
        <v>0</v>
      </c>
      <c r="I13" s="24">
        <v>255</v>
      </c>
    </row>
    <row r="14" spans="1:9" x14ac:dyDescent="0.3">
      <c r="A14" t="s">
        <v>3</v>
      </c>
      <c r="B14" t="s">
        <v>340</v>
      </c>
      <c r="C14" t="s">
        <v>341</v>
      </c>
      <c r="D14" t="s">
        <v>342</v>
      </c>
      <c r="E14" t="s">
        <v>412</v>
      </c>
      <c r="F14" s="1">
        <v>2008</v>
      </c>
      <c r="G14" s="1">
        <v>1</v>
      </c>
      <c r="H14" s="1">
        <v>3</v>
      </c>
      <c r="I14" s="24">
        <v>69</v>
      </c>
    </row>
    <row r="15" spans="1:9" x14ac:dyDescent="0.3">
      <c r="A15" t="s">
        <v>3</v>
      </c>
      <c r="B15" t="s">
        <v>340</v>
      </c>
      <c r="C15" t="s">
        <v>341</v>
      </c>
      <c r="D15" t="s">
        <v>342</v>
      </c>
      <c r="E15" t="s">
        <v>345</v>
      </c>
      <c r="F15" s="1">
        <v>2008</v>
      </c>
      <c r="G15" s="1">
        <v>29</v>
      </c>
      <c r="H15" s="1">
        <v>15</v>
      </c>
      <c r="I15" s="24">
        <v>16</v>
      </c>
    </row>
    <row r="16" spans="1:9" x14ac:dyDescent="0.3">
      <c r="A16" t="s">
        <v>3</v>
      </c>
      <c r="B16" t="s">
        <v>340</v>
      </c>
      <c r="C16" t="s">
        <v>341</v>
      </c>
      <c r="D16" t="s">
        <v>342</v>
      </c>
      <c r="E16" t="s">
        <v>397</v>
      </c>
      <c r="F16" s="1">
        <v>2009</v>
      </c>
      <c r="G16" s="1">
        <v>50</v>
      </c>
      <c r="H16" s="1">
        <v>0</v>
      </c>
      <c r="I16" s="24">
        <v>299</v>
      </c>
    </row>
    <row r="17" spans="1:9" x14ac:dyDescent="0.3">
      <c r="A17" t="s">
        <v>3</v>
      </c>
      <c r="B17" t="s">
        <v>340</v>
      </c>
      <c r="C17" t="s">
        <v>341</v>
      </c>
      <c r="D17" t="s">
        <v>342</v>
      </c>
      <c r="E17" t="s">
        <v>343</v>
      </c>
      <c r="F17" s="1">
        <v>2009</v>
      </c>
      <c r="G17" s="1">
        <v>45</v>
      </c>
      <c r="H17" s="1">
        <v>3</v>
      </c>
      <c r="I17" s="24">
        <v>75</v>
      </c>
    </row>
    <row r="18" spans="1:9" x14ac:dyDescent="0.3">
      <c r="A18" t="s">
        <v>3</v>
      </c>
      <c r="B18" t="s">
        <v>340</v>
      </c>
      <c r="C18" t="s">
        <v>341</v>
      </c>
      <c r="D18" t="s">
        <v>342</v>
      </c>
      <c r="E18" t="s">
        <v>350</v>
      </c>
      <c r="F18" s="1">
        <v>2009</v>
      </c>
      <c r="G18" s="1">
        <v>35</v>
      </c>
      <c r="H18" s="1">
        <v>3</v>
      </c>
      <c r="I18" s="24">
        <v>70</v>
      </c>
    </row>
    <row r="19" spans="1:9" x14ac:dyDescent="0.3">
      <c r="A19" t="s">
        <v>3</v>
      </c>
      <c r="B19" t="s">
        <v>340</v>
      </c>
      <c r="C19" t="s">
        <v>341</v>
      </c>
      <c r="D19" t="s">
        <v>342</v>
      </c>
      <c r="E19" t="s">
        <v>391</v>
      </c>
      <c r="F19" s="1">
        <v>2009</v>
      </c>
      <c r="G19" s="1">
        <v>14</v>
      </c>
      <c r="H19" s="1">
        <v>0</v>
      </c>
      <c r="I19" s="24">
        <v>320</v>
      </c>
    </row>
    <row r="20" spans="1:9" x14ac:dyDescent="0.3">
      <c r="A20" t="s">
        <v>3</v>
      </c>
      <c r="B20" t="s">
        <v>340</v>
      </c>
      <c r="C20" t="s">
        <v>341</v>
      </c>
      <c r="D20" t="s">
        <v>342</v>
      </c>
      <c r="E20" t="s">
        <v>419</v>
      </c>
      <c r="F20" s="1">
        <v>2010</v>
      </c>
      <c r="G20" s="1">
        <v>30</v>
      </c>
      <c r="H20" s="1">
        <v>3</v>
      </c>
      <c r="I20" s="24">
        <v>70</v>
      </c>
    </row>
    <row r="21" spans="1:9" x14ac:dyDescent="0.3">
      <c r="A21" t="s">
        <v>3</v>
      </c>
      <c r="B21" t="s">
        <v>340</v>
      </c>
      <c r="C21" t="s">
        <v>341</v>
      </c>
      <c r="D21" t="s">
        <v>342</v>
      </c>
      <c r="E21" t="s">
        <v>425</v>
      </c>
      <c r="F21" s="1">
        <v>2011</v>
      </c>
      <c r="G21" s="1">
        <v>43</v>
      </c>
      <c r="H21" s="1">
        <v>10</v>
      </c>
      <c r="I21" s="24">
        <v>45</v>
      </c>
    </row>
    <row r="22" spans="1:9" x14ac:dyDescent="0.3">
      <c r="A22" t="s">
        <v>3</v>
      </c>
      <c r="B22" t="s">
        <v>340</v>
      </c>
      <c r="C22" t="s">
        <v>341</v>
      </c>
      <c r="D22" t="s">
        <v>342</v>
      </c>
      <c r="E22" t="s">
        <v>392</v>
      </c>
      <c r="F22" s="1">
        <v>2011</v>
      </c>
      <c r="G22" s="1">
        <v>33</v>
      </c>
      <c r="H22" s="1">
        <v>0</v>
      </c>
      <c r="I22" s="24">
        <v>380</v>
      </c>
    </row>
    <row r="23" spans="1:9" x14ac:dyDescent="0.3">
      <c r="A23" t="s">
        <v>3</v>
      </c>
      <c r="B23" t="s">
        <v>340</v>
      </c>
      <c r="C23" t="s">
        <v>341</v>
      </c>
      <c r="D23" t="s">
        <v>342</v>
      </c>
      <c r="E23" t="s">
        <v>418</v>
      </c>
      <c r="F23" s="1">
        <v>2011</v>
      </c>
      <c r="G23" s="1">
        <v>45</v>
      </c>
      <c r="H23" s="1">
        <v>3</v>
      </c>
      <c r="I23" s="24">
        <v>75</v>
      </c>
    </row>
    <row r="24" spans="1:9" x14ac:dyDescent="0.3">
      <c r="A24" t="s">
        <v>3</v>
      </c>
      <c r="B24" t="s">
        <v>340</v>
      </c>
      <c r="C24" t="s">
        <v>341</v>
      </c>
      <c r="D24" t="s">
        <v>342</v>
      </c>
      <c r="E24" t="s">
        <v>348</v>
      </c>
      <c r="F24" s="1">
        <v>2012</v>
      </c>
      <c r="G24" s="1">
        <v>15</v>
      </c>
      <c r="H24" s="1">
        <v>10</v>
      </c>
      <c r="I24" s="24">
        <v>24</v>
      </c>
    </row>
    <row r="25" spans="1:9" x14ac:dyDescent="0.3">
      <c r="A25" t="s">
        <v>3</v>
      </c>
      <c r="B25" t="s">
        <v>340</v>
      </c>
      <c r="C25" t="s">
        <v>341</v>
      </c>
      <c r="D25" t="s">
        <v>342</v>
      </c>
      <c r="E25" t="s">
        <v>399</v>
      </c>
      <c r="F25" s="1">
        <v>2012</v>
      </c>
      <c r="G25" s="1">
        <v>47</v>
      </c>
      <c r="H25" s="1">
        <v>10</v>
      </c>
      <c r="I25" s="24">
        <v>23</v>
      </c>
    </row>
    <row r="26" spans="1:9" x14ac:dyDescent="0.3">
      <c r="A26" t="s">
        <v>3</v>
      </c>
      <c r="B26" t="s">
        <v>340</v>
      </c>
      <c r="C26" t="s">
        <v>341</v>
      </c>
      <c r="D26" t="s">
        <v>342</v>
      </c>
      <c r="E26" t="s">
        <v>396</v>
      </c>
      <c r="F26" s="1">
        <v>2014</v>
      </c>
      <c r="G26" s="1">
        <v>36</v>
      </c>
      <c r="H26" s="1">
        <v>0</v>
      </c>
      <c r="I26" s="24">
        <v>430</v>
      </c>
    </row>
    <row r="27" spans="1:9" x14ac:dyDescent="0.3">
      <c r="A27" t="s">
        <v>3</v>
      </c>
      <c r="B27" t="s">
        <v>340</v>
      </c>
      <c r="C27" t="s">
        <v>341</v>
      </c>
      <c r="D27" t="s">
        <v>342</v>
      </c>
      <c r="E27" t="s">
        <v>349</v>
      </c>
      <c r="F27" s="1">
        <v>2014</v>
      </c>
      <c r="G27" s="1">
        <v>35</v>
      </c>
      <c r="H27" s="1">
        <v>10</v>
      </c>
      <c r="I27" s="24">
        <v>25</v>
      </c>
    </row>
    <row r="28" spans="1:9" x14ac:dyDescent="0.3">
      <c r="A28" t="s">
        <v>3</v>
      </c>
      <c r="B28" t="s">
        <v>340</v>
      </c>
      <c r="C28" t="s">
        <v>341</v>
      </c>
      <c r="D28" t="s">
        <v>342</v>
      </c>
      <c r="E28" t="s">
        <v>378</v>
      </c>
      <c r="F28" s="1">
        <v>2014</v>
      </c>
      <c r="G28" s="1">
        <v>14</v>
      </c>
      <c r="H28" s="1">
        <v>0</v>
      </c>
      <c r="I28" s="24">
        <v>630</v>
      </c>
    </row>
    <row r="29" spans="1:9" x14ac:dyDescent="0.3">
      <c r="A29" t="s">
        <v>3</v>
      </c>
      <c r="B29" t="s">
        <v>340</v>
      </c>
      <c r="C29" t="s">
        <v>341</v>
      </c>
      <c r="D29" t="s">
        <v>342</v>
      </c>
      <c r="E29" t="s">
        <v>395</v>
      </c>
      <c r="F29" s="1">
        <v>2015</v>
      </c>
      <c r="G29" s="1">
        <v>15</v>
      </c>
      <c r="H29" s="1">
        <v>0</v>
      </c>
      <c r="I29" s="24">
        <v>400</v>
      </c>
    </row>
    <row r="30" spans="1:9" x14ac:dyDescent="0.3">
      <c r="A30" t="s">
        <v>3</v>
      </c>
      <c r="B30" t="s">
        <v>340</v>
      </c>
      <c r="C30" t="s">
        <v>341</v>
      </c>
      <c r="D30" t="s">
        <v>342</v>
      </c>
      <c r="E30" t="s">
        <v>393</v>
      </c>
      <c r="F30" s="1">
        <v>2015</v>
      </c>
      <c r="G30" s="1">
        <v>24</v>
      </c>
      <c r="H30" s="1">
        <v>0</v>
      </c>
      <c r="I30" s="24">
        <v>450</v>
      </c>
    </row>
    <row r="31" spans="1:9" x14ac:dyDescent="0.3">
      <c r="A31" t="s">
        <v>3</v>
      </c>
      <c r="B31" t="s">
        <v>340</v>
      </c>
      <c r="C31" t="s">
        <v>341</v>
      </c>
      <c r="D31" t="s">
        <v>342</v>
      </c>
      <c r="E31" t="s">
        <v>420</v>
      </c>
      <c r="F31" s="1">
        <v>2015</v>
      </c>
      <c r="G31" s="1">
        <v>24</v>
      </c>
      <c r="H31" s="1">
        <v>3</v>
      </c>
      <c r="I31" s="24">
        <v>90</v>
      </c>
    </row>
    <row r="32" spans="1:9" x14ac:dyDescent="0.3">
      <c r="A32" t="s">
        <v>3</v>
      </c>
      <c r="B32" t="s">
        <v>340</v>
      </c>
      <c r="C32" t="s">
        <v>341</v>
      </c>
      <c r="D32" t="s">
        <v>342</v>
      </c>
      <c r="E32" t="s">
        <v>420</v>
      </c>
      <c r="F32" s="1">
        <v>2015</v>
      </c>
      <c r="G32" s="1">
        <v>3</v>
      </c>
      <c r="H32" s="1">
        <v>3</v>
      </c>
      <c r="I32" s="24">
        <v>90</v>
      </c>
    </row>
    <row r="33" spans="1:9" x14ac:dyDescent="0.3">
      <c r="A33" t="s">
        <v>3</v>
      </c>
      <c r="B33" t="s">
        <v>340</v>
      </c>
      <c r="C33" t="s">
        <v>341</v>
      </c>
      <c r="D33" t="s">
        <v>346</v>
      </c>
      <c r="E33" t="s">
        <v>382</v>
      </c>
      <c r="F33" s="1">
        <v>2005</v>
      </c>
      <c r="G33" s="1">
        <v>32</v>
      </c>
      <c r="H33" s="1">
        <v>1</v>
      </c>
      <c r="I33" s="24">
        <v>240</v>
      </c>
    </row>
    <row r="34" spans="1:9" x14ac:dyDescent="0.3">
      <c r="A34" t="s">
        <v>3</v>
      </c>
      <c r="B34" t="s">
        <v>340</v>
      </c>
      <c r="C34" t="s">
        <v>341</v>
      </c>
      <c r="D34" t="s">
        <v>346</v>
      </c>
      <c r="E34" t="s">
        <v>386</v>
      </c>
      <c r="F34" s="1">
        <v>2005</v>
      </c>
      <c r="G34" s="1">
        <v>15</v>
      </c>
      <c r="H34" s="1">
        <v>3</v>
      </c>
      <c r="I34" s="24">
        <v>50</v>
      </c>
    </row>
    <row r="35" spans="1:9" x14ac:dyDescent="0.3">
      <c r="A35" t="s">
        <v>3</v>
      </c>
      <c r="B35" t="s">
        <v>340</v>
      </c>
      <c r="C35" t="s">
        <v>341</v>
      </c>
      <c r="D35" t="s">
        <v>346</v>
      </c>
      <c r="E35" t="s">
        <v>402</v>
      </c>
      <c r="F35" s="1">
        <v>2005</v>
      </c>
      <c r="G35" s="1">
        <v>50</v>
      </c>
      <c r="H35" s="1">
        <v>3</v>
      </c>
      <c r="I35" s="24">
        <v>60</v>
      </c>
    </row>
    <row r="36" spans="1:9" x14ac:dyDescent="0.3">
      <c r="A36" t="s">
        <v>3</v>
      </c>
      <c r="B36" t="s">
        <v>340</v>
      </c>
      <c r="C36" t="s">
        <v>341</v>
      </c>
      <c r="D36" t="s">
        <v>346</v>
      </c>
      <c r="E36" t="s">
        <v>381</v>
      </c>
      <c r="F36" s="1">
        <v>2008</v>
      </c>
      <c r="G36" s="1">
        <v>43</v>
      </c>
      <c r="H36" s="1">
        <v>1</v>
      </c>
      <c r="I36" s="24">
        <v>229</v>
      </c>
    </row>
    <row r="37" spans="1:9" x14ac:dyDescent="0.3">
      <c r="A37" t="s">
        <v>3</v>
      </c>
      <c r="B37" t="s">
        <v>340</v>
      </c>
      <c r="C37" t="s">
        <v>341</v>
      </c>
      <c r="D37" t="s">
        <v>346</v>
      </c>
      <c r="E37" t="s">
        <v>410</v>
      </c>
      <c r="F37" s="1">
        <v>2009</v>
      </c>
      <c r="G37" s="1">
        <v>40</v>
      </c>
      <c r="H37" s="1">
        <v>0</v>
      </c>
      <c r="I37" s="24">
        <v>359</v>
      </c>
    </row>
    <row r="38" spans="1:9" x14ac:dyDescent="0.3">
      <c r="A38" t="s">
        <v>3</v>
      </c>
      <c r="B38" t="s">
        <v>340</v>
      </c>
      <c r="C38" t="s">
        <v>341</v>
      </c>
      <c r="D38" t="s">
        <v>346</v>
      </c>
      <c r="E38" t="s">
        <v>347</v>
      </c>
      <c r="F38" s="1">
        <v>2009</v>
      </c>
      <c r="G38" s="1">
        <v>31</v>
      </c>
      <c r="H38" s="1">
        <v>3</v>
      </c>
      <c r="I38" s="24">
        <v>65</v>
      </c>
    </row>
    <row r="39" spans="1:9" x14ac:dyDescent="0.3">
      <c r="A39" t="s">
        <v>3</v>
      </c>
      <c r="B39" t="s">
        <v>340</v>
      </c>
      <c r="C39" t="s">
        <v>341</v>
      </c>
      <c r="D39" t="s">
        <v>346</v>
      </c>
      <c r="E39" t="s">
        <v>379</v>
      </c>
      <c r="F39" s="1">
        <v>2009</v>
      </c>
      <c r="G39" s="1">
        <v>30</v>
      </c>
      <c r="H39" s="1">
        <v>1</v>
      </c>
      <c r="I39" s="24">
        <v>135</v>
      </c>
    </row>
    <row r="40" spans="1:9" x14ac:dyDescent="0.3">
      <c r="A40" t="s">
        <v>3</v>
      </c>
      <c r="B40" t="s">
        <v>340</v>
      </c>
      <c r="C40" t="s">
        <v>341</v>
      </c>
      <c r="D40" t="s">
        <v>346</v>
      </c>
      <c r="E40" t="s">
        <v>351</v>
      </c>
      <c r="F40" s="1">
        <v>2009</v>
      </c>
      <c r="G40" s="1">
        <v>42</v>
      </c>
      <c r="H40" s="1">
        <v>1</v>
      </c>
      <c r="I40" s="24">
        <v>115</v>
      </c>
    </row>
    <row r="41" spans="1:9" x14ac:dyDescent="0.3">
      <c r="A41" t="s">
        <v>3</v>
      </c>
      <c r="B41" t="s">
        <v>340</v>
      </c>
      <c r="C41" t="s">
        <v>341</v>
      </c>
      <c r="D41" t="s">
        <v>346</v>
      </c>
      <c r="E41" t="s">
        <v>415</v>
      </c>
      <c r="F41" s="1">
        <v>2009</v>
      </c>
      <c r="G41" s="1">
        <v>28</v>
      </c>
      <c r="H41" s="1">
        <v>0</v>
      </c>
      <c r="I41" s="24">
        <v>425</v>
      </c>
    </row>
    <row r="42" spans="1:9" x14ac:dyDescent="0.3">
      <c r="A42" t="s">
        <v>3</v>
      </c>
      <c r="B42" t="s">
        <v>340</v>
      </c>
      <c r="C42" t="s">
        <v>341</v>
      </c>
      <c r="D42" t="s">
        <v>346</v>
      </c>
      <c r="E42" t="s">
        <v>383</v>
      </c>
      <c r="F42" s="1">
        <v>2010</v>
      </c>
      <c r="G42" s="1">
        <v>12</v>
      </c>
      <c r="H42" s="1">
        <v>0</v>
      </c>
      <c r="I42" s="24">
        <v>260</v>
      </c>
    </row>
    <row r="43" spans="1:9" x14ac:dyDescent="0.3">
      <c r="A43" t="s">
        <v>3</v>
      </c>
      <c r="B43" t="s">
        <v>340</v>
      </c>
      <c r="C43" t="s">
        <v>341</v>
      </c>
      <c r="D43" t="s">
        <v>346</v>
      </c>
      <c r="E43" t="s">
        <v>384</v>
      </c>
      <c r="F43" s="1">
        <v>2011</v>
      </c>
      <c r="G43" s="1">
        <v>25</v>
      </c>
      <c r="H43" s="1">
        <v>0</v>
      </c>
      <c r="I43" s="24">
        <v>280</v>
      </c>
    </row>
    <row r="44" spans="1:9" x14ac:dyDescent="0.3">
      <c r="A44" t="s">
        <v>3</v>
      </c>
      <c r="B44" t="s">
        <v>340</v>
      </c>
      <c r="C44" t="s">
        <v>341</v>
      </c>
      <c r="D44" t="s">
        <v>346</v>
      </c>
      <c r="E44" t="s">
        <v>413</v>
      </c>
      <c r="F44" s="1">
        <v>2011</v>
      </c>
      <c r="G44" s="1">
        <v>45</v>
      </c>
      <c r="H44" s="1">
        <v>3</v>
      </c>
      <c r="I44" s="24">
        <v>95</v>
      </c>
    </row>
    <row r="45" spans="1:9" x14ac:dyDescent="0.3">
      <c r="A45" t="s">
        <v>3</v>
      </c>
      <c r="B45" t="s">
        <v>340</v>
      </c>
      <c r="C45" t="s">
        <v>341</v>
      </c>
      <c r="D45" t="s">
        <v>346</v>
      </c>
      <c r="E45" t="s">
        <v>418</v>
      </c>
      <c r="F45" s="1">
        <v>2011</v>
      </c>
      <c r="G45" s="1">
        <v>44</v>
      </c>
      <c r="H45" s="1">
        <v>3</v>
      </c>
      <c r="I45" s="24">
        <v>60</v>
      </c>
    </row>
    <row r="46" spans="1:9" x14ac:dyDescent="0.3">
      <c r="A46" t="s">
        <v>3</v>
      </c>
      <c r="B46" t="s">
        <v>340</v>
      </c>
      <c r="C46" t="s">
        <v>341</v>
      </c>
      <c r="D46" t="s">
        <v>346</v>
      </c>
      <c r="E46" t="s">
        <v>406</v>
      </c>
      <c r="F46" s="1">
        <v>2012</v>
      </c>
      <c r="G46" s="1">
        <v>33</v>
      </c>
      <c r="H46" s="1">
        <v>3</v>
      </c>
      <c r="I46" s="24">
        <v>80</v>
      </c>
    </row>
    <row r="47" spans="1:9" x14ac:dyDescent="0.3">
      <c r="A47" t="s">
        <v>3</v>
      </c>
      <c r="B47" t="s">
        <v>340</v>
      </c>
      <c r="C47" t="s">
        <v>341</v>
      </c>
      <c r="D47" t="s">
        <v>346</v>
      </c>
      <c r="E47" t="s">
        <v>385</v>
      </c>
      <c r="F47" s="1">
        <v>2014</v>
      </c>
      <c r="G47" s="1">
        <v>34</v>
      </c>
      <c r="H47" s="1">
        <v>0</v>
      </c>
      <c r="I47" s="24">
        <v>330</v>
      </c>
    </row>
    <row r="48" spans="1:9" x14ac:dyDescent="0.3">
      <c r="A48" t="s">
        <v>3</v>
      </c>
      <c r="B48" t="s">
        <v>340</v>
      </c>
      <c r="C48" t="s">
        <v>341</v>
      </c>
      <c r="D48" t="s">
        <v>346</v>
      </c>
      <c r="E48" t="s">
        <v>414</v>
      </c>
      <c r="F48" s="1">
        <v>2014</v>
      </c>
      <c r="G48" s="1">
        <v>15</v>
      </c>
      <c r="H48" s="1">
        <v>1</v>
      </c>
      <c r="I48" s="24">
        <v>120</v>
      </c>
    </row>
    <row r="49" spans="1:9" x14ac:dyDescent="0.3">
      <c r="A49" t="s">
        <v>3</v>
      </c>
      <c r="B49" t="s">
        <v>340</v>
      </c>
      <c r="C49" t="s">
        <v>341</v>
      </c>
      <c r="D49" t="s">
        <v>346</v>
      </c>
      <c r="E49" t="s">
        <v>416</v>
      </c>
      <c r="F49" s="1">
        <v>2014</v>
      </c>
      <c r="G49" s="1">
        <v>7</v>
      </c>
      <c r="H49" s="1">
        <v>0</v>
      </c>
      <c r="I49" s="24">
        <v>580</v>
      </c>
    </row>
    <row r="50" spans="1:9" x14ac:dyDescent="0.3">
      <c r="A50" t="s">
        <v>3</v>
      </c>
      <c r="B50" t="s">
        <v>340</v>
      </c>
      <c r="C50" t="s">
        <v>341</v>
      </c>
      <c r="D50" t="s">
        <v>346</v>
      </c>
      <c r="E50" t="s">
        <v>404</v>
      </c>
      <c r="F50" s="1">
        <v>2014</v>
      </c>
      <c r="G50" s="1">
        <v>43</v>
      </c>
      <c r="H50" s="1">
        <v>3</v>
      </c>
      <c r="I50" s="24">
        <v>80</v>
      </c>
    </row>
    <row r="51" spans="1:9" x14ac:dyDescent="0.3">
      <c r="A51" t="s">
        <v>3</v>
      </c>
      <c r="B51" t="s">
        <v>340</v>
      </c>
      <c r="C51" t="s">
        <v>341</v>
      </c>
      <c r="D51" t="s">
        <v>346</v>
      </c>
      <c r="E51" t="s">
        <v>404</v>
      </c>
      <c r="F51" s="1">
        <v>2014</v>
      </c>
      <c r="G51" s="1">
        <v>7</v>
      </c>
      <c r="H51" s="1">
        <v>3</v>
      </c>
      <c r="I51" s="24">
        <v>80</v>
      </c>
    </row>
    <row r="52" spans="1:9" x14ac:dyDescent="0.3">
      <c r="A52" t="s">
        <v>3</v>
      </c>
      <c r="B52" t="s">
        <v>340</v>
      </c>
      <c r="C52" t="s">
        <v>341</v>
      </c>
      <c r="D52" t="s">
        <v>346</v>
      </c>
      <c r="E52" t="s">
        <v>387</v>
      </c>
      <c r="F52" s="1">
        <v>2015</v>
      </c>
      <c r="G52" s="1">
        <v>0</v>
      </c>
      <c r="H52" s="1">
        <v>3</v>
      </c>
      <c r="I52" s="24">
        <v>75</v>
      </c>
    </row>
    <row r="53" spans="1:9" x14ac:dyDescent="0.3">
      <c r="A53" t="s">
        <v>3</v>
      </c>
      <c r="B53" t="s">
        <v>340</v>
      </c>
      <c r="C53" t="s">
        <v>341</v>
      </c>
      <c r="D53" t="s">
        <v>346</v>
      </c>
      <c r="E53" t="s">
        <v>387</v>
      </c>
      <c r="F53" s="1">
        <v>2015</v>
      </c>
      <c r="G53" s="1">
        <v>36</v>
      </c>
      <c r="H53" s="1">
        <v>3</v>
      </c>
      <c r="I53" s="24">
        <v>75</v>
      </c>
    </row>
    <row r="54" spans="1:9" x14ac:dyDescent="0.3">
      <c r="A54" t="s">
        <v>3</v>
      </c>
      <c r="B54" t="s">
        <v>340</v>
      </c>
      <c r="C54" t="s">
        <v>341</v>
      </c>
      <c r="D54" t="s">
        <v>346</v>
      </c>
      <c r="E54" t="s">
        <v>417</v>
      </c>
      <c r="F54" s="1">
        <v>2015</v>
      </c>
      <c r="G54" s="1">
        <v>0</v>
      </c>
      <c r="H54" s="1">
        <v>0</v>
      </c>
      <c r="I54" s="24">
        <v>650</v>
      </c>
    </row>
    <row r="55" spans="1:9" x14ac:dyDescent="0.3">
      <c r="A55" t="s">
        <v>3</v>
      </c>
      <c r="B55" t="s">
        <v>340</v>
      </c>
      <c r="C55" t="s">
        <v>341</v>
      </c>
      <c r="D55" t="s">
        <v>346</v>
      </c>
      <c r="E55" t="s">
        <v>403</v>
      </c>
      <c r="F55" s="1">
        <v>2015</v>
      </c>
      <c r="G55" s="1">
        <v>7</v>
      </c>
      <c r="H55" s="1">
        <v>3</v>
      </c>
      <c r="I55" s="24">
        <v>79</v>
      </c>
    </row>
    <row r="56" spans="1:9" x14ac:dyDescent="0.3">
      <c r="A56" t="s">
        <v>3</v>
      </c>
      <c r="B56" t="s">
        <v>340</v>
      </c>
      <c r="C56" t="s">
        <v>341</v>
      </c>
      <c r="D56" t="s">
        <v>346</v>
      </c>
      <c r="E56" t="s">
        <v>405</v>
      </c>
      <c r="F56" s="1">
        <v>2015</v>
      </c>
      <c r="G56" s="1">
        <v>5</v>
      </c>
      <c r="H56" s="1">
        <v>3</v>
      </c>
      <c r="I56" s="24">
        <v>79</v>
      </c>
    </row>
    <row r="57" spans="1:9" x14ac:dyDescent="0.3">
      <c r="A57" t="s">
        <v>3</v>
      </c>
      <c r="B57" t="s">
        <v>334</v>
      </c>
      <c r="C57" t="s">
        <v>335</v>
      </c>
      <c r="D57" t="s">
        <v>346</v>
      </c>
      <c r="E57" t="s">
        <v>377</v>
      </c>
      <c r="F57" s="1">
        <v>2012</v>
      </c>
      <c r="G57" s="1">
        <v>28</v>
      </c>
      <c r="H57" s="1">
        <v>10</v>
      </c>
      <c r="I57" s="24">
        <v>45</v>
      </c>
    </row>
    <row r="58" spans="1:9" x14ac:dyDescent="0.3">
      <c r="A58" t="s">
        <v>3</v>
      </c>
      <c r="B58" t="s">
        <v>334</v>
      </c>
      <c r="C58" t="s">
        <v>335</v>
      </c>
      <c r="D58" t="s">
        <v>346</v>
      </c>
      <c r="E58" t="s">
        <v>366</v>
      </c>
      <c r="F58" s="1">
        <v>2013</v>
      </c>
      <c r="G58" s="1">
        <v>41</v>
      </c>
      <c r="H58" s="1">
        <v>10</v>
      </c>
      <c r="I58" s="24">
        <v>27</v>
      </c>
    </row>
    <row r="59" spans="1:9" x14ac:dyDescent="0.3">
      <c r="A59" t="s">
        <v>3</v>
      </c>
      <c r="B59" t="s">
        <v>334</v>
      </c>
      <c r="C59" t="s">
        <v>335</v>
      </c>
      <c r="D59" t="s">
        <v>346</v>
      </c>
      <c r="E59" t="s">
        <v>366</v>
      </c>
      <c r="F59" s="1">
        <v>2013</v>
      </c>
      <c r="G59" s="1">
        <v>21</v>
      </c>
      <c r="H59" s="1">
        <v>10</v>
      </c>
      <c r="I59" s="24">
        <v>27</v>
      </c>
    </row>
    <row r="60" spans="1:9" x14ac:dyDescent="0.3">
      <c r="A60" t="s">
        <v>3</v>
      </c>
      <c r="B60" t="s">
        <v>334</v>
      </c>
      <c r="C60" t="s">
        <v>335</v>
      </c>
      <c r="D60" t="s">
        <v>346</v>
      </c>
      <c r="E60" t="s">
        <v>362</v>
      </c>
      <c r="F60" s="1">
        <v>2014</v>
      </c>
      <c r="G60" s="1">
        <v>45</v>
      </c>
      <c r="H60" s="1">
        <v>10</v>
      </c>
      <c r="I60" s="24">
        <v>27</v>
      </c>
    </row>
    <row r="61" spans="1:9" x14ac:dyDescent="0.3">
      <c r="A61" t="s">
        <v>3</v>
      </c>
      <c r="B61" t="s">
        <v>334</v>
      </c>
      <c r="C61" t="s">
        <v>335</v>
      </c>
      <c r="D61" t="s">
        <v>336</v>
      </c>
      <c r="E61" t="s">
        <v>426</v>
      </c>
      <c r="F61" s="1">
        <v>2008</v>
      </c>
      <c r="G61" s="1">
        <v>17</v>
      </c>
      <c r="H61" s="1">
        <v>10</v>
      </c>
      <c r="I61" s="24">
        <v>36</v>
      </c>
    </row>
    <row r="62" spans="1:9" x14ac:dyDescent="0.3">
      <c r="A62" t="s">
        <v>3</v>
      </c>
      <c r="B62" t="s">
        <v>334</v>
      </c>
      <c r="C62" t="s">
        <v>335</v>
      </c>
      <c r="D62" t="s">
        <v>336</v>
      </c>
      <c r="E62" t="s">
        <v>374</v>
      </c>
      <c r="F62" s="1">
        <v>2009</v>
      </c>
      <c r="G62" s="1">
        <v>10</v>
      </c>
      <c r="H62" s="1">
        <v>10</v>
      </c>
      <c r="I62" s="24">
        <v>35</v>
      </c>
    </row>
    <row r="63" spans="1:9" x14ac:dyDescent="0.3">
      <c r="A63" t="s">
        <v>3</v>
      </c>
      <c r="B63" t="s">
        <v>334</v>
      </c>
      <c r="C63" t="s">
        <v>335</v>
      </c>
      <c r="D63" t="s">
        <v>336</v>
      </c>
      <c r="E63" t="s">
        <v>409</v>
      </c>
      <c r="F63" s="1">
        <v>2009</v>
      </c>
      <c r="G63" s="1">
        <v>8</v>
      </c>
      <c r="H63" s="1">
        <v>3</v>
      </c>
      <c r="I63" s="24">
        <v>59</v>
      </c>
    </row>
    <row r="64" spans="1:9" x14ac:dyDescent="0.3">
      <c r="A64" t="s">
        <v>3</v>
      </c>
      <c r="B64" t="s">
        <v>334</v>
      </c>
      <c r="C64" t="s">
        <v>335</v>
      </c>
      <c r="D64" t="s">
        <v>336</v>
      </c>
      <c r="E64" t="s">
        <v>337</v>
      </c>
      <c r="F64" s="1">
        <v>2010</v>
      </c>
      <c r="G64" s="1">
        <v>35</v>
      </c>
      <c r="H64" s="1">
        <v>3</v>
      </c>
      <c r="I64" s="24">
        <v>50</v>
      </c>
    </row>
    <row r="65" spans="1:9" x14ac:dyDescent="0.3">
      <c r="A65" t="s">
        <v>3</v>
      </c>
      <c r="B65" t="s">
        <v>334</v>
      </c>
      <c r="C65" t="s">
        <v>335</v>
      </c>
      <c r="D65" t="s">
        <v>336</v>
      </c>
      <c r="E65" t="s">
        <v>371</v>
      </c>
      <c r="F65" s="1">
        <v>2011</v>
      </c>
      <c r="G65" s="1">
        <v>1</v>
      </c>
      <c r="H65" s="1">
        <v>3</v>
      </c>
      <c r="I65" s="24">
        <v>53</v>
      </c>
    </row>
    <row r="66" spans="1:9" x14ac:dyDescent="0.3">
      <c r="A66" t="s">
        <v>3</v>
      </c>
      <c r="B66" t="s">
        <v>334</v>
      </c>
      <c r="C66" t="s">
        <v>335</v>
      </c>
      <c r="D66" t="s">
        <v>336</v>
      </c>
      <c r="E66" t="s">
        <v>407</v>
      </c>
      <c r="F66" s="1">
        <v>2011</v>
      </c>
      <c r="G66" s="1">
        <v>44</v>
      </c>
      <c r="H66" s="1">
        <v>3</v>
      </c>
      <c r="I66" s="24">
        <v>50</v>
      </c>
    </row>
    <row r="67" spans="1:9" x14ac:dyDescent="0.3">
      <c r="A67" t="s">
        <v>3</v>
      </c>
      <c r="B67" t="s">
        <v>334</v>
      </c>
      <c r="C67" t="s">
        <v>335</v>
      </c>
      <c r="D67" t="s">
        <v>336</v>
      </c>
      <c r="E67" t="s">
        <v>390</v>
      </c>
      <c r="F67" s="1">
        <v>2011</v>
      </c>
      <c r="G67" s="1">
        <v>22</v>
      </c>
      <c r="H67" s="1">
        <v>3</v>
      </c>
      <c r="I67" s="24">
        <v>50</v>
      </c>
    </row>
    <row r="68" spans="1:9" x14ac:dyDescent="0.3">
      <c r="A68" t="s">
        <v>3</v>
      </c>
      <c r="B68" t="s">
        <v>334</v>
      </c>
      <c r="C68" t="s">
        <v>335</v>
      </c>
      <c r="D68" t="s">
        <v>336</v>
      </c>
      <c r="E68" t="s">
        <v>356</v>
      </c>
      <c r="F68" s="1">
        <v>2012</v>
      </c>
      <c r="G68" s="1">
        <v>35</v>
      </c>
      <c r="H68" s="1">
        <v>10</v>
      </c>
      <c r="I68" s="24">
        <v>25</v>
      </c>
    </row>
    <row r="69" spans="1:9" x14ac:dyDescent="0.3">
      <c r="A69" t="s">
        <v>3</v>
      </c>
      <c r="B69" t="s">
        <v>334</v>
      </c>
      <c r="C69" t="s">
        <v>335</v>
      </c>
      <c r="D69" t="s">
        <v>336</v>
      </c>
      <c r="E69" t="s">
        <v>338</v>
      </c>
      <c r="F69" s="1">
        <v>2012</v>
      </c>
      <c r="G69" s="1">
        <v>19</v>
      </c>
      <c r="H69" s="1">
        <v>3</v>
      </c>
      <c r="I69" s="24">
        <v>55</v>
      </c>
    </row>
    <row r="70" spans="1:9" x14ac:dyDescent="0.3">
      <c r="A70" t="s">
        <v>3</v>
      </c>
      <c r="B70" t="s">
        <v>334</v>
      </c>
      <c r="C70" t="s">
        <v>335</v>
      </c>
      <c r="D70" t="s">
        <v>336</v>
      </c>
      <c r="E70" t="s">
        <v>377</v>
      </c>
      <c r="F70" s="1">
        <v>2012</v>
      </c>
      <c r="G70" s="1">
        <v>50</v>
      </c>
      <c r="H70" s="1">
        <v>10</v>
      </c>
      <c r="I70" s="24">
        <v>40</v>
      </c>
    </row>
    <row r="71" spans="1:9" x14ac:dyDescent="0.3">
      <c r="A71" t="s">
        <v>3</v>
      </c>
      <c r="B71" t="s">
        <v>334</v>
      </c>
      <c r="C71" t="s">
        <v>335</v>
      </c>
      <c r="D71" t="s">
        <v>336</v>
      </c>
      <c r="E71" t="s">
        <v>363</v>
      </c>
      <c r="F71" s="1">
        <v>2012</v>
      </c>
      <c r="G71" s="1">
        <v>27</v>
      </c>
      <c r="H71" s="1">
        <v>10</v>
      </c>
      <c r="I71" s="24">
        <v>23</v>
      </c>
    </row>
    <row r="72" spans="1:9" x14ac:dyDescent="0.3">
      <c r="A72" t="s">
        <v>3</v>
      </c>
      <c r="B72" t="s">
        <v>334</v>
      </c>
      <c r="C72" t="s">
        <v>335</v>
      </c>
      <c r="D72" t="s">
        <v>336</v>
      </c>
      <c r="E72" t="s">
        <v>408</v>
      </c>
      <c r="F72" s="1">
        <v>2012</v>
      </c>
      <c r="G72" s="1">
        <v>37</v>
      </c>
      <c r="H72" s="1">
        <v>3</v>
      </c>
      <c r="I72" s="24">
        <v>50</v>
      </c>
    </row>
    <row r="73" spans="1:9" x14ac:dyDescent="0.3">
      <c r="A73" t="s">
        <v>3</v>
      </c>
      <c r="B73" t="s">
        <v>334</v>
      </c>
      <c r="C73" t="s">
        <v>335</v>
      </c>
      <c r="D73" t="s">
        <v>336</v>
      </c>
      <c r="E73" t="s">
        <v>373</v>
      </c>
      <c r="F73" s="1">
        <v>2013</v>
      </c>
      <c r="G73" s="1">
        <v>3</v>
      </c>
      <c r="H73" s="1">
        <v>3</v>
      </c>
      <c r="I73" s="24">
        <v>65</v>
      </c>
    </row>
    <row r="74" spans="1:9" x14ac:dyDescent="0.3">
      <c r="A74" t="s">
        <v>3</v>
      </c>
      <c r="B74" t="s">
        <v>334</v>
      </c>
      <c r="C74" t="s">
        <v>335</v>
      </c>
      <c r="D74" t="s">
        <v>336</v>
      </c>
      <c r="E74" t="s">
        <v>376</v>
      </c>
      <c r="F74" s="1">
        <v>2013</v>
      </c>
      <c r="G74" s="1">
        <v>22</v>
      </c>
      <c r="H74" s="1">
        <v>10</v>
      </c>
      <c r="I74" s="24">
        <v>40</v>
      </c>
    </row>
    <row r="75" spans="1:9" x14ac:dyDescent="0.3">
      <c r="A75" t="s">
        <v>3</v>
      </c>
      <c r="B75" t="s">
        <v>334</v>
      </c>
      <c r="C75" t="s">
        <v>335</v>
      </c>
      <c r="D75" t="s">
        <v>336</v>
      </c>
      <c r="E75" t="s">
        <v>366</v>
      </c>
      <c r="F75" s="1">
        <v>2013</v>
      </c>
      <c r="G75" s="1">
        <v>41</v>
      </c>
      <c r="H75" s="1">
        <v>10</v>
      </c>
      <c r="I75" s="24">
        <v>25</v>
      </c>
    </row>
    <row r="76" spans="1:9" x14ac:dyDescent="0.3">
      <c r="A76" t="s">
        <v>3</v>
      </c>
      <c r="B76" t="s">
        <v>334</v>
      </c>
      <c r="C76" t="s">
        <v>335</v>
      </c>
      <c r="D76" t="s">
        <v>336</v>
      </c>
      <c r="E76" t="s">
        <v>372</v>
      </c>
      <c r="F76" s="1">
        <v>2014</v>
      </c>
      <c r="G76" s="1">
        <v>8</v>
      </c>
      <c r="H76" s="1">
        <v>3</v>
      </c>
      <c r="I76" s="24">
        <v>65</v>
      </c>
    </row>
    <row r="77" spans="1:9" x14ac:dyDescent="0.3">
      <c r="A77" t="s">
        <v>3</v>
      </c>
      <c r="B77" t="s">
        <v>334</v>
      </c>
      <c r="C77" t="s">
        <v>335</v>
      </c>
      <c r="D77" t="s">
        <v>336</v>
      </c>
      <c r="E77" t="s">
        <v>389</v>
      </c>
      <c r="F77" s="1">
        <v>2014</v>
      </c>
      <c r="G77" s="1">
        <v>39</v>
      </c>
      <c r="H77" s="1">
        <v>15</v>
      </c>
      <c r="I77" s="24">
        <v>18</v>
      </c>
    </row>
    <row r="78" spans="1:9" x14ac:dyDescent="0.3">
      <c r="A78" t="s">
        <v>3</v>
      </c>
      <c r="B78" t="s">
        <v>334</v>
      </c>
      <c r="C78" t="s">
        <v>335</v>
      </c>
      <c r="D78" t="s">
        <v>336</v>
      </c>
      <c r="E78" t="s">
        <v>339</v>
      </c>
      <c r="F78" s="1">
        <v>2014</v>
      </c>
      <c r="G78" s="1">
        <v>30</v>
      </c>
      <c r="H78" s="1">
        <v>3</v>
      </c>
      <c r="I78" s="24">
        <v>60</v>
      </c>
    </row>
    <row r="79" spans="1:9" x14ac:dyDescent="0.3">
      <c r="A79" t="s">
        <v>3</v>
      </c>
      <c r="B79" t="s">
        <v>334</v>
      </c>
      <c r="C79" t="s">
        <v>335</v>
      </c>
      <c r="D79" t="s">
        <v>336</v>
      </c>
      <c r="E79" t="s">
        <v>375</v>
      </c>
      <c r="F79" s="1">
        <v>2014</v>
      </c>
      <c r="G79" s="1">
        <v>11</v>
      </c>
      <c r="H79" s="1">
        <v>10</v>
      </c>
      <c r="I79" s="24">
        <v>40</v>
      </c>
    </row>
    <row r="80" spans="1:9" x14ac:dyDescent="0.3">
      <c r="A80" t="s">
        <v>3</v>
      </c>
      <c r="B80" t="s">
        <v>334</v>
      </c>
      <c r="C80" t="s">
        <v>335</v>
      </c>
      <c r="D80" t="s">
        <v>336</v>
      </c>
      <c r="E80" t="s">
        <v>362</v>
      </c>
      <c r="F80" s="1">
        <v>2014</v>
      </c>
      <c r="G80" s="1">
        <v>7</v>
      </c>
      <c r="H80" s="1">
        <v>10</v>
      </c>
      <c r="I80" s="24">
        <v>23</v>
      </c>
    </row>
    <row r="81" spans="1:9" x14ac:dyDescent="0.3">
      <c r="A81" t="s">
        <v>3</v>
      </c>
      <c r="B81" t="s">
        <v>334</v>
      </c>
      <c r="C81" t="s">
        <v>335</v>
      </c>
      <c r="D81" t="s">
        <v>336</v>
      </c>
      <c r="E81" t="s">
        <v>357</v>
      </c>
      <c r="F81" s="1">
        <v>2015</v>
      </c>
      <c r="G81" s="1">
        <v>14</v>
      </c>
      <c r="H81" s="1">
        <v>10</v>
      </c>
      <c r="I81" s="24">
        <v>25</v>
      </c>
    </row>
    <row r="82" spans="1:9" x14ac:dyDescent="0.3">
      <c r="A82" t="s">
        <v>3</v>
      </c>
      <c r="B82" t="s">
        <v>334</v>
      </c>
      <c r="C82" t="s">
        <v>335</v>
      </c>
      <c r="D82" t="s">
        <v>336</v>
      </c>
      <c r="E82" t="s">
        <v>388</v>
      </c>
      <c r="F82" s="1">
        <v>2015</v>
      </c>
      <c r="G82" s="1">
        <v>25</v>
      </c>
      <c r="H82" s="1">
        <v>15</v>
      </c>
      <c r="I82" s="24">
        <v>18</v>
      </c>
    </row>
    <row r="83" spans="1:9" x14ac:dyDescent="0.3">
      <c r="A83" t="s">
        <v>3</v>
      </c>
      <c r="B83" t="s">
        <v>334</v>
      </c>
      <c r="C83" t="s">
        <v>335</v>
      </c>
      <c r="D83" t="s">
        <v>336</v>
      </c>
      <c r="E83" t="s">
        <v>364</v>
      </c>
      <c r="F83" s="1">
        <v>2015</v>
      </c>
      <c r="G83" s="1">
        <v>28</v>
      </c>
      <c r="H83" s="1">
        <v>10</v>
      </c>
      <c r="I83" s="24">
        <v>25</v>
      </c>
    </row>
    <row r="84" spans="1:9" x14ac:dyDescent="0.3">
      <c r="A84" t="s">
        <v>3</v>
      </c>
      <c r="B84" t="s">
        <v>334</v>
      </c>
      <c r="C84" t="s">
        <v>335</v>
      </c>
      <c r="D84" t="s">
        <v>336</v>
      </c>
      <c r="E84" t="s">
        <v>365</v>
      </c>
      <c r="F84" s="1">
        <v>2016</v>
      </c>
      <c r="G84" s="1">
        <v>30</v>
      </c>
      <c r="H84" s="1">
        <v>10</v>
      </c>
      <c r="I84" s="24">
        <v>25</v>
      </c>
    </row>
    <row r="85" spans="1:9" x14ac:dyDescent="0.3">
      <c r="A85" t="s">
        <v>327</v>
      </c>
      <c r="B85" t="s">
        <v>135</v>
      </c>
      <c r="C85" t="s">
        <v>328</v>
      </c>
      <c r="D85" t="s">
        <v>329</v>
      </c>
      <c r="E85" t="s">
        <v>421</v>
      </c>
      <c r="F85" s="1">
        <v>2011</v>
      </c>
      <c r="G85" s="1">
        <v>10</v>
      </c>
      <c r="H85" s="1">
        <v>3</v>
      </c>
      <c r="I85" s="24">
        <v>60</v>
      </c>
    </row>
    <row r="86" spans="1:9" x14ac:dyDescent="0.3">
      <c r="A86" t="s">
        <v>327</v>
      </c>
      <c r="B86" t="s">
        <v>135</v>
      </c>
      <c r="C86" t="s">
        <v>328</v>
      </c>
      <c r="D86" t="s">
        <v>329</v>
      </c>
      <c r="E86" t="s">
        <v>421</v>
      </c>
      <c r="F86" s="1">
        <v>2011</v>
      </c>
      <c r="G86" s="1">
        <v>0</v>
      </c>
      <c r="H86" s="1">
        <v>3</v>
      </c>
      <c r="I86" s="24">
        <v>60</v>
      </c>
    </row>
    <row r="87" spans="1:9" x14ac:dyDescent="0.3">
      <c r="A87" t="s">
        <v>327</v>
      </c>
      <c r="B87" t="s">
        <v>135</v>
      </c>
      <c r="C87" t="s">
        <v>328</v>
      </c>
      <c r="D87" t="s">
        <v>329</v>
      </c>
      <c r="E87" t="s">
        <v>355</v>
      </c>
      <c r="F87" s="1">
        <v>2011</v>
      </c>
      <c r="G87" s="1">
        <v>41</v>
      </c>
      <c r="H87" s="1">
        <v>10</v>
      </c>
      <c r="I87" s="24">
        <v>45</v>
      </c>
    </row>
    <row r="88" spans="1:9" x14ac:dyDescent="0.3">
      <c r="A88" t="s">
        <v>327</v>
      </c>
      <c r="B88" t="s">
        <v>135</v>
      </c>
      <c r="C88" t="s">
        <v>328</v>
      </c>
      <c r="D88" t="s">
        <v>329</v>
      </c>
      <c r="E88" t="s">
        <v>424</v>
      </c>
      <c r="F88" s="1">
        <v>2012</v>
      </c>
      <c r="G88" s="1">
        <v>5</v>
      </c>
      <c r="H88" s="1">
        <v>3</v>
      </c>
      <c r="I88" s="24">
        <v>60</v>
      </c>
    </row>
    <row r="89" spans="1:9" x14ac:dyDescent="0.3">
      <c r="A89" t="s">
        <v>327</v>
      </c>
      <c r="B89" t="s">
        <v>135</v>
      </c>
      <c r="C89" t="s">
        <v>328</v>
      </c>
      <c r="D89" t="s">
        <v>329</v>
      </c>
      <c r="E89" t="s">
        <v>331</v>
      </c>
      <c r="F89" s="1">
        <v>2012</v>
      </c>
      <c r="G89" s="1">
        <v>28</v>
      </c>
      <c r="H89" s="1">
        <v>10</v>
      </c>
      <c r="I89" s="24">
        <v>25</v>
      </c>
    </row>
    <row r="90" spans="1:9" x14ac:dyDescent="0.3">
      <c r="A90" t="s">
        <v>327</v>
      </c>
      <c r="B90" t="s">
        <v>135</v>
      </c>
      <c r="C90" t="s">
        <v>328</v>
      </c>
      <c r="D90" t="s">
        <v>329</v>
      </c>
      <c r="E90" t="s">
        <v>352</v>
      </c>
      <c r="F90" s="1">
        <v>2012</v>
      </c>
      <c r="G90" s="1">
        <v>17</v>
      </c>
      <c r="H90" s="1">
        <v>10</v>
      </c>
      <c r="I90" s="24">
        <v>45</v>
      </c>
    </row>
    <row r="91" spans="1:9" x14ac:dyDescent="0.3">
      <c r="A91" t="s">
        <v>327</v>
      </c>
      <c r="B91" t="s">
        <v>135</v>
      </c>
      <c r="C91" t="s">
        <v>328</v>
      </c>
      <c r="D91" t="s">
        <v>329</v>
      </c>
      <c r="E91" t="s">
        <v>422</v>
      </c>
      <c r="F91" s="1">
        <v>2013</v>
      </c>
      <c r="G91" s="1">
        <v>30</v>
      </c>
      <c r="H91" s="1">
        <v>3</v>
      </c>
      <c r="I91" s="24">
        <v>60</v>
      </c>
    </row>
    <row r="92" spans="1:9" x14ac:dyDescent="0.3">
      <c r="A92" t="s">
        <v>327</v>
      </c>
      <c r="B92" t="s">
        <v>135</v>
      </c>
      <c r="C92" t="s">
        <v>328</v>
      </c>
      <c r="D92" t="s">
        <v>329</v>
      </c>
      <c r="E92" t="s">
        <v>344</v>
      </c>
      <c r="F92" s="1">
        <v>2013</v>
      </c>
      <c r="G92" s="1">
        <v>21</v>
      </c>
      <c r="H92" s="1">
        <v>10</v>
      </c>
      <c r="I92" s="24">
        <v>45</v>
      </c>
    </row>
    <row r="93" spans="1:9" x14ac:dyDescent="0.3">
      <c r="A93" t="s">
        <v>327</v>
      </c>
      <c r="B93" t="s">
        <v>135</v>
      </c>
      <c r="C93" t="s">
        <v>328</v>
      </c>
      <c r="D93" t="s">
        <v>329</v>
      </c>
      <c r="E93" t="s">
        <v>330</v>
      </c>
      <c r="F93" s="1">
        <v>2013</v>
      </c>
      <c r="G93" s="1">
        <v>47</v>
      </c>
      <c r="H93" s="1">
        <v>10</v>
      </c>
      <c r="I93" s="24">
        <v>25</v>
      </c>
    </row>
    <row r="94" spans="1:9" x14ac:dyDescent="0.3">
      <c r="A94" t="s">
        <v>327</v>
      </c>
      <c r="B94" t="s">
        <v>135</v>
      </c>
      <c r="C94" t="s">
        <v>328</v>
      </c>
      <c r="D94" t="s">
        <v>329</v>
      </c>
      <c r="E94" t="s">
        <v>354</v>
      </c>
      <c r="F94" s="1">
        <v>2013</v>
      </c>
      <c r="G94" s="1">
        <v>27</v>
      </c>
      <c r="H94" s="1">
        <v>10</v>
      </c>
      <c r="I94" s="24">
        <v>45</v>
      </c>
    </row>
    <row r="95" spans="1:9" x14ac:dyDescent="0.3">
      <c r="A95" t="s">
        <v>327</v>
      </c>
      <c r="B95" t="s">
        <v>135</v>
      </c>
      <c r="C95" t="s">
        <v>328</v>
      </c>
      <c r="D95" t="s">
        <v>329</v>
      </c>
      <c r="E95" t="s">
        <v>423</v>
      </c>
      <c r="F95" s="1">
        <v>2014</v>
      </c>
      <c r="G95" s="1">
        <v>36</v>
      </c>
      <c r="H95" s="1">
        <v>3</v>
      </c>
      <c r="I95" s="24">
        <v>60</v>
      </c>
    </row>
    <row r="96" spans="1:9" x14ac:dyDescent="0.3">
      <c r="A96" t="s">
        <v>327</v>
      </c>
      <c r="B96" t="s">
        <v>135</v>
      </c>
      <c r="C96" t="s">
        <v>328</v>
      </c>
      <c r="D96" t="s">
        <v>329</v>
      </c>
      <c r="E96" t="s">
        <v>333</v>
      </c>
      <c r="F96" s="1">
        <v>2014</v>
      </c>
      <c r="G96" s="1">
        <v>24</v>
      </c>
      <c r="H96" s="1">
        <v>10</v>
      </c>
      <c r="I96" s="24">
        <v>28</v>
      </c>
    </row>
    <row r="97" spans="1:9" x14ac:dyDescent="0.3">
      <c r="A97" t="s">
        <v>327</v>
      </c>
      <c r="B97" t="s">
        <v>135</v>
      </c>
      <c r="C97" t="s">
        <v>328</v>
      </c>
      <c r="D97" t="s">
        <v>329</v>
      </c>
      <c r="E97" t="s">
        <v>353</v>
      </c>
      <c r="F97" s="1">
        <v>2014</v>
      </c>
      <c r="G97" s="1">
        <v>35</v>
      </c>
      <c r="H97" s="1">
        <v>10</v>
      </c>
      <c r="I97" s="24">
        <v>45</v>
      </c>
    </row>
    <row r="98" spans="1:9" x14ac:dyDescent="0.3">
      <c r="A98" t="s">
        <v>327</v>
      </c>
      <c r="B98" t="s">
        <v>135</v>
      </c>
      <c r="C98" t="s">
        <v>328</v>
      </c>
      <c r="D98" t="s">
        <v>329</v>
      </c>
      <c r="E98" t="s">
        <v>353</v>
      </c>
      <c r="F98" s="1">
        <v>2014</v>
      </c>
      <c r="G98" s="1">
        <v>1</v>
      </c>
      <c r="H98" s="1">
        <v>10</v>
      </c>
      <c r="I98" s="24">
        <v>45</v>
      </c>
    </row>
    <row r="99" spans="1:9" x14ac:dyDescent="0.3">
      <c r="A99" t="s">
        <v>327</v>
      </c>
      <c r="B99" t="s">
        <v>135</v>
      </c>
      <c r="C99" t="s">
        <v>328</v>
      </c>
      <c r="D99" t="s">
        <v>329</v>
      </c>
      <c r="E99" t="s">
        <v>332</v>
      </c>
      <c r="F99" s="1">
        <v>2015</v>
      </c>
      <c r="G99" s="1">
        <v>44</v>
      </c>
      <c r="H99" s="1">
        <v>10</v>
      </c>
      <c r="I99" s="24">
        <v>28</v>
      </c>
    </row>
    <row r="100" spans="1:9" x14ac:dyDescent="0.3">
      <c r="A100" t="s">
        <v>327</v>
      </c>
      <c r="B100" t="s">
        <v>135</v>
      </c>
      <c r="C100" t="s">
        <v>427</v>
      </c>
      <c r="D100" t="s">
        <v>428</v>
      </c>
      <c r="E100" t="s">
        <v>429</v>
      </c>
      <c r="F100" s="1">
        <v>2013</v>
      </c>
      <c r="G100" s="1">
        <v>16</v>
      </c>
      <c r="H100" s="1">
        <v>15</v>
      </c>
      <c r="I100" s="24">
        <v>15</v>
      </c>
    </row>
    <row r="101" spans="1:9" x14ac:dyDescent="0.3">
      <c r="A101" t="s">
        <v>327</v>
      </c>
      <c r="B101" t="s">
        <v>135</v>
      </c>
      <c r="C101" t="s">
        <v>427</v>
      </c>
      <c r="D101" t="s">
        <v>428</v>
      </c>
      <c r="E101" t="s">
        <v>430</v>
      </c>
      <c r="F101" s="1">
        <v>2014</v>
      </c>
      <c r="G101" s="1">
        <v>25</v>
      </c>
      <c r="H101" s="1">
        <v>15</v>
      </c>
      <c r="I101" s="24">
        <v>15</v>
      </c>
    </row>
  </sheetData>
  <conditionalFormatting sqref="A2:XFD1048576">
    <cfRule type="expression" dxfId="0" priority="1">
      <formula>$G2&lt;=$H2</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6800D-CDBC-4C67-8FD0-509CE997BD3D}">
  <sheetPr>
    <tabColor theme="6" tint="0.59999389629810485"/>
  </sheetPr>
  <dimension ref="A1:B5"/>
  <sheetViews>
    <sheetView workbookViewId="0">
      <selection activeCell="B10" sqref="B10"/>
    </sheetView>
  </sheetViews>
  <sheetFormatPr defaultRowHeight="14.4" x14ac:dyDescent="0.3"/>
  <cols>
    <col min="1" max="1" width="28.88671875" bestFit="1" customWidth="1"/>
    <col min="2" max="2" width="11.44140625" customWidth="1"/>
  </cols>
  <sheetData>
    <row r="1" spans="1:2" x14ac:dyDescent="0.3">
      <c r="A1" s="49" t="s">
        <v>431</v>
      </c>
      <c r="B1" s="49"/>
    </row>
    <row r="2" spans="1:2" x14ac:dyDescent="0.3">
      <c r="A2" s="4" t="s">
        <v>435</v>
      </c>
      <c r="B2" s="26" t="s">
        <v>436</v>
      </c>
    </row>
    <row r="3" spans="1:2" x14ac:dyDescent="0.3">
      <c r="A3" s="4" t="s">
        <v>432</v>
      </c>
      <c r="B3" s="25">
        <v>44149</v>
      </c>
    </row>
    <row r="4" spans="1:2" x14ac:dyDescent="0.3">
      <c r="A4" s="7" t="s">
        <v>433</v>
      </c>
      <c r="B4" s="8">
        <v>12</v>
      </c>
    </row>
    <row r="5" spans="1:2" x14ac:dyDescent="0.3">
      <c r="A5" s="9" t="s">
        <v>434</v>
      </c>
      <c r="B5" s="27">
        <f>WORKDAY(B3,B4)</f>
        <v>44166</v>
      </c>
    </row>
  </sheetData>
  <mergeCells count="1">
    <mergeCell ref="A1:B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7CA5-3978-47E0-9BE9-7BF73605D03B}">
  <sheetPr>
    <tabColor theme="8" tint="-0.249977111117893"/>
  </sheetPr>
  <dimension ref="A1"/>
  <sheetViews>
    <sheetView showGridLines="0" topLeftCell="A3" workbookViewId="0"/>
  </sheetViews>
  <sheetFormatPr defaultRowHeight="14.4" x14ac:dyDescent="0.3"/>
  <cols>
    <col min="1" max="1" width="2.88671875" customWidth="1"/>
  </cols>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BC98-8499-4B83-BB96-FF226E78403D}">
  <sheetPr>
    <tabColor theme="8" tint="0.59999389629810485"/>
  </sheetPr>
  <dimension ref="A1:G87"/>
  <sheetViews>
    <sheetView workbookViewId="0">
      <selection activeCell="G87" sqref="G87"/>
    </sheetView>
  </sheetViews>
  <sheetFormatPr defaultRowHeight="14.4" x14ac:dyDescent="0.3"/>
  <cols>
    <col min="1" max="1" width="14.6640625" style="1" bestFit="1" customWidth="1"/>
    <col min="2" max="2" width="18.5546875" bestFit="1" customWidth="1"/>
    <col min="3" max="3" width="20.88671875" bestFit="1" customWidth="1"/>
    <col min="4" max="4" width="23" bestFit="1" customWidth="1"/>
    <col min="5" max="5" width="29.109375" bestFit="1" customWidth="1"/>
    <col min="6" max="6" width="14.5546875" bestFit="1" customWidth="1"/>
    <col min="7" max="7" width="15" bestFit="1" customWidth="1"/>
  </cols>
  <sheetData>
    <row r="1" spans="1:7" x14ac:dyDescent="0.3">
      <c r="A1" s="28" t="s">
        <v>17</v>
      </c>
      <c r="B1" s="28" t="s">
        <v>561</v>
      </c>
      <c r="C1" s="28" t="s">
        <v>562</v>
      </c>
      <c r="D1" s="28" t="s">
        <v>563</v>
      </c>
      <c r="E1" s="28" t="s">
        <v>18</v>
      </c>
      <c r="F1" s="28" t="s">
        <v>564</v>
      </c>
      <c r="G1" s="28" t="s">
        <v>565</v>
      </c>
    </row>
    <row r="2" spans="1:7" x14ac:dyDescent="0.3">
      <c r="A2" s="1">
        <v>63</v>
      </c>
      <c r="B2" t="s">
        <v>529</v>
      </c>
      <c r="C2" t="s">
        <v>530</v>
      </c>
      <c r="D2" t="s">
        <v>531</v>
      </c>
      <c r="E2" t="s">
        <v>532</v>
      </c>
      <c r="F2" s="21">
        <v>15458</v>
      </c>
      <c r="G2" s="6">
        <v>12366.400000000001</v>
      </c>
    </row>
    <row r="3" spans="1:7" x14ac:dyDescent="0.3">
      <c r="A3" s="1">
        <v>64</v>
      </c>
      <c r="B3" t="s">
        <v>529</v>
      </c>
      <c r="C3" t="s">
        <v>530</v>
      </c>
      <c r="D3" t="s">
        <v>531</v>
      </c>
      <c r="E3" t="s">
        <v>533</v>
      </c>
      <c r="F3" s="21">
        <v>14552</v>
      </c>
      <c r="G3" s="6">
        <v>11641.6</v>
      </c>
    </row>
    <row r="4" spans="1:7" x14ac:dyDescent="0.3">
      <c r="A4" s="1">
        <v>65</v>
      </c>
      <c r="B4" t="s">
        <v>529</v>
      </c>
      <c r="C4" t="s">
        <v>530</v>
      </c>
      <c r="D4" t="s">
        <v>534</v>
      </c>
      <c r="E4" t="s">
        <v>535</v>
      </c>
      <c r="F4" s="21">
        <v>17764</v>
      </c>
      <c r="G4" s="6">
        <v>14211.2</v>
      </c>
    </row>
    <row r="5" spans="1:7" x14ac:dyDescent="0.3">
      <c r="A5" s="1">
        <v>84</v>
      </c>
      <c r="B5" t="s">
        <v>529</v>
      </c>
      <c r="C5" t="s">
        <v>530</v>
      </c>
      <c r="D5" t="s">
        <v>531</v>
      </c>
      <c r="E5" t="s">
        <v>559</v>
      </c>
      <c r="F5" s="21">
        <v>16051</v>
      </c>
      <c r="G5" s="6">
        <v>12840.800000000001</v>
      </c>
    </row>
    <row r="6" spans="1:7" x14ac:dyDescent="0.3">
      <c r="B6" s="29" t="s">
        <v>655</v>
      </c>
      <c r="F6" s="21">
        <f>SUBTOTAL(9,F2:F5)</f>
        <v>63825</v>
      </c>
      <c r="G6" s="6">
        <f>SUBTOTAL(9,G2:G5)</f>
        <v>51060</v>
      </c>
    </row>
    <row r="7" spans="1:7" x14ac:dyDescent="0.3">
      <c r="A7" s="1">
        <v>22</v>
      </c>
      <c r="B7" t="s">
        <v>476</v>
      </c>
      <c r="C7" t="s">
        <v>477</v>
      </c>
      <c r="D7" t="s">
        <v>478</v>
      </c>
      <c r="E7" t="s">
        <v>479</v>
      </c>
      <c r="F7" s="21">
        <v>26768</v>
      </c>
      <c r="G7" s="6">
        <v>53536</v>
      </c>
    </row>
    <row r="8" spans="1:7" x14ac:dyDescent="0.3">
      <c r="A8" s="1">
        <v>23</v>
      </c>
      <c r="B8" t="s">
        <v>476</v>
      </c>
      <c r="C8" t="s">
        <v>477</v>
      </c>
      <c r="D8" t="s">
        <v>478</v>
      </c>
      <c r="E8" t="s">
        <v>480</v>
      </c>
      <c r="F8" s="21">
        <v>26831</v>
      </c>
      <c r="G8" s="6">
        <v>67077.5</v>
      </c>
    </row>
    <row r="9" spans="1:7" x14ac:dyDescent="0.3">
      <c r="A9" s="1">
        <v>24</v>
      </c>
      <c r="B9" t="s">
        <v>476</v>
      </c>
      <c r="C9" t="s">
        <v>477</v>
      </c>
      <c r="D9" t="s">
        <v>478</v>
      </c>
      <c r="E9" t="s">
        <v>481</v>
      </c>
      <c r="F9" s="21">
        <v>24888</v>
      </c>
      <c r="G9" s="6">
        <v>74664</v>
      </c>
    </row>
    <row r="10" spans="1:7" x14ac:dyDescent="0.3">
      <c r="A10" s="1">
        <v>25</v>
      </c>
      <c r="B10" t="s">
        <v>476</v>
      </c>
      <c r="C10" t="s">
        <v>477</v>
      </c>
      <c r="D10" t="s">
        <v>482</v>
      </c>
      <c r="E10" t="s">
        <v>483</v>
      </c>
      <c r="F10" s="21">
        <v>26671</v>
      </c>
      <c r="G10" s="6">
        <v>58676.200000000004</v>
      </c>
    </row>
    <row r="11" spans="1:7" x14ac:dyDescent="0.3">
      <c r="A11" s="1">
        <v>26</v>
      </c>
      <c r="B11" t="s">
        <v>476</v>
      </c>
      <c r="C11" t="s">
        <v>477</v>
      </c>
      <c r="D11" t="s">
        <v>482</v>
      </c>
      <c r="E11" t="s">
        <v>484</v>
      </c>
      <c r="F11" s="21">
        <v>26852</v>
      </c>
      <c r="G11" s="6">
        <v>80556</v>
      </c>
    </row>
    <row r="12" spans="1:7" x14ac:dyDescent="0.3">
      <c r="A12" s="1">
        <v>27</v>
      </c>
      <c r="B12" t="s">
        <v>476</v>
      </c>
      <c r="C12" t="s">
        <v>477</v>
      </c>
      <c r="D12" t="s">
        <v>482</v>
      </c>
      <c r="E12" t="s">
        <v>485</v>
      </c>
      <c r="F12" s="21">
        <v>26001</v>
      </c>
      <c r="G12" s="6">
        <v>91003.5</v>
      </c>
    </row>
    <row r="13" spans="1:7" x14ac:dyDescent="0.3">
      <c r="A13" s="1">
        <v>28</v>
      </c>
      <c r="B13" t="s">
        <v>476</v>
      </c>
      <c r="C13" t="s">
        <v>477</v>
      </c>
      <c r="D13" t="s">
        <v>486</v>
      </c>
      <c r="E13" t="s">
        <v>487</v>
      </c>
      <c r="F13" s="21">
        <v>25236</v>
      </c>
      <c r="G13" s="6">
        <v>50472</v>
      </c>
    </row>
    <row r="14" spans="1:7" x14ac:dyDescent="0.3">
      <c r="A14" s="1">
        <v>29</v>
      </c>
      <c r="B14" t="s">
        <v>476</v>
      </c>
      <c r="C14" t="s">
        <v>477</v>
      </c>
      <c r="D14" t="s">
        <v>486</v>
      </c>
      <c r="E14" t="s">
        <v>488</v>
      </c>
      <c r="F14" s="21">
        <v>27514</v>
      </c>
      <c r="G14" s="6">
        <v>68785</v>
      </c>
    </row>
    <row r="15" spans="1:7" x14ac:dyDescent="0.3">
      <c r="A15" s="1">
        <v>30</v>
      </c>
      <c r="B15" t="s">
        <v>476</v>
      </c>
      <c r="C15" t="s">
        <v>477</v>
      </c>
      <c r="D15" t="s">
        <v>486</v>
      </c>
      <c r="E15" t="s">
        <v>489</v>
      </c>
      <c r="F15" s="21">
        <v>25970</v>
      </c>
      <c r="G15" s="6">
        <v>77910</v>
      </c>
    </row>
    <row r="16" spans="1:7" x14ac:dyDescent="0.3">
      <c r="A16" s="1">
        <v>31</v>
      </c>
      <c r="B16" t="s">
        <v>476</v>
      </c>
      <c r="C16" t="s">
        <v>477</v>
      </c>
      <c r="D16" t="s">
        <v>486</v>
      </c>
      <c r="E16" t="s">
        <v>490</v>
      </c>
      <c r="F16" s="21">
        <v>27061</v>
      </c>
      <c r="G16" s="6">
        <v>59534.200000000004</v>
      </c>
    </row>
    <row r="17" spans="1:7" x14ac:dyDescent="0.3">
      <c r="A17" s="1">
        <v>32</v>
      </c>
      <c r="B17" t="s">
        <v>476</v>
      </c>
      <c r="C17" t="s">
        <v>477</v>
      </c>
      <c r="D17" t="s">
        <v>486</v>
      </c>
      <c r="E17" t="s">
        <v>491</v>
      </c>
      <c r="F17" s="21">
        <v>27287</v>
      </c>
      <c r="G17" s="6">
        <v>81861</v>
      </c>
    </row>
    <row r="18" spans="1:7" x14ac:dyDescent="0.3">
      <c r="A18" s="1">
        <v>33</v>
      </c>
      <c r="B18" t="s">
        <v>476</v>
      </c>
      <c r="C18" t="s">
        <v>477</v>
      </c>
      <c r="D18" t="s">
        <v>486</v>
      </c>
      <c r="E18" t="s">
        <v>492</v>
      </c>
      <c r="F18" s="21">
        <v>26146</v>
      </c>
      <c r="G18" s="6">
        <v>91511</v>
      </c>
    </row>
    <row r="19" spans="1:7" x14ac:dyDescent="0.3">
      <c r="A19" s="1">
        <v>34</v>
      </c>
      <c r="B19" t="s">
        <v>476</v>
      </c>
      <c r="C19" t="s">
        <v>477</v>
      </c>
      <c r="D19" t="s">
        <v>493</v>
      </c>
      <c r="E19" t="s">
        <v>494</v>
      </c>
      <c r="F19" s="21">
        <v>24566</v>
      </c>
      <c r="G19" s="6">
        <v>60186.700000000004</v>
      </c>
    </row>
    <row r="20" spans="1:7" x14ac:dyDescent="0.3">
      <c r="A20" s="1">
        <v>35</v>
      </c>
      <c r="B20" t="s">
        <v>476</v>
      </c>
      <c r="C20" t="s">
        <v>477</v>
      </c>
      <c r="D20" t="s">
        <v>493</v>
      </c>
      <c r="E20" t="s">
        <v>495</v>
      </c>
      <c r="F20" s="21">
        <v>24877</v>
      </c>
      <c r="G20" s="6">
        <v>77118.7</v>
      </c>
    </row>
    <row r="21" spans="1:7" x14ac:dyDescent="0.3">
      <c r="A21" s="1">
        <v>36</v>
      </c>
      <c r="B21" t="s">
        <v>476</v>
      </c>
      <c r="C21" t="s">
        <v>477</v>
      </c>
      <c r="D21" t="s">
        <v>493</v>
      </c>
      <c r="E21" t="s">
        <v>496</v>
      </c>
      <c r="F21" s="21">
        <v>26489</v>
      </c>
      <c r="G21" s="6">
        <v>99333.75</v>
      </c>
    </row>
    <row r="22" spans="1:7" x14ac:dyDescent="0.3">
      <c r="A22" s="1">
        <v>37</v>
      </c>
      <c r="B22" t="s">
        <v>476</v>
      </c>
      <c r="C22" t="s">
        <v>477</v>
      </c>
      <c r="D22" t="s">
        <v>497</v>
      </c>
      <c r="E22" t="s">
        <v>498</v>
      </c>
      <c r="F22" s="21">
        <v>25726</v>
      </c>
      <c r="G22" s="6">
        <v>77178</v>
      </c>
    </row>
    <row r="23" spans="1:7" x14ac:dyDescent="0.3">
      <c r="A23" s="1">
        <v>38</v>
      </c>
      <c r="B23" t="s">
        <v>476</v>
      </c>
      <c r="C23" t="s">
        <v>477</v>
      </c>
      <c r="D23" t="s">
        <v>497</v>
      </c>
      <c r="E23" t="s">
        <v>499</v>
      </c>
      <c r="F23" s="21">
        <v>27754</v>
      </c>
      <c r="G23" s="6">
        <v>104077.5</v>
      </c>
    </row>
    <row r="24" spans="1:7" x14ac:dyDescent="0.3">
      <c r="A24" s="1">
        <v>39</v>
      </c>
      <c r="B24" t="s">
        <v>476</v>
      </c>
      <c r="C24" t="s">
        <v>477</v>
      </c>
      <c r="D24" t="s">
        <v>497</v>
      </c>
      <c r="E24" t="s">
        <v>500</v>
      </c>
      <c r="F24" s="21">
        <v>27141</v>
      </c>
      <c r="G24" s="6">
        <v>115349.25</v>
      </c>
    </row>
    <row r="25" spans="1:7" x14ac:dyDescent="0.3">
      <c r="A25" s="1">
        <v>40</v>
      </c>
      <c r="B25" t="s">
        <v>476</v>
      </c>
      <c r="C25" t="s">
        <v>477</v>
      </c>
      <c r="D25" t="s">
        <v>497</v>
      </c>
      <c r="E25" t="s">
        <v>501</v>
      </c>
      <c r="F25" s="21">
        <v>26355</v>
      </c>
      <c r="G25" s="6">
        <v>98831.25</v>
      </c>
    </row>
    <row r="26" spans="1:7" x14ac:dyDescent="0.3">
      <c r="A26" s="1">
        <v>41</v>
      </c>
      <c r="B26" t="s">
        <v>476</v>
      </c>
      <c r="C26" t="s">
        <v>477</v>
      </c>
      <c r="D26" t="s">
        <v>497</v>
      </c>
      <c r="E26" t="s">
        <v>502</v>
      </c>
      <c r="F26" s="21">
        <v>25836</v>
      </c>
      <c r="G26" s="6">
        <v>109803</v>
      </c>
    </row>
    <row r="27" spans="1:7" x14ac:dyDescent="0.3">
      <c r="A27" s="1">
        <v>42</v>
      </c>
      <c r="B27" t="s">
        <v>476</v>
      </c>
      <c r="C27" t="s">
        <v>503</v>
      </c>
      <c r="D27" t="s">
        <v>504</v>
      </c>
      <c r="E27" t="s">
        <v>505</v>
      </c>
      <c r="F27" s="21">
        <v>26553</v>
      </c>
      <c r="G27" s="6">
        <v>66382.5</v>
      </c>
    </row>
    <row r="28" spans="1:7" x14ac:dyDescent="0.3">
      <c r="A28" s="1">
        <v>43</v>
      </c>
      <c r="B28" t="s">
        <v>476</v>
      </c>
      <c r="C28" t="s">
        <v>503</v>
      </c>
      <c r="D28" t="s">
        <v>504</v>
      </c>
      <c r="E28" t="s">
        <v>506</v>
      </c>
      <c r="F28" s="21">
        <v>24917</v>
      </c>
      <c r="G28" s="6">
        <v>74751</v>
      </c>
    </row>
    <row r="29" spans="1:7" x14ac:dyDescent="0.3">
      <c r="A29" s="1">
        <v>44</v>
      </c>
      <c r="B29" t="s">
        <v>476</v>
      </c>
      <c r="C29" t="s">
        <v>503</v>
      </c>
      <c r="D29" t="s">
        <v>504</v>
      </c>
      <c r="E29" t="s">
        <v>507</v>
      </c>
      <c r="F29" s="21">
        <v>27449</v>
      </c>
      <c r="G29" s="6">
        <v>68622.5</v>
      </c>
    </row>
    <row r="30" spans="1:7" x14ac:dyDescent="0.3">
      <c r="A30" s="1">
        <v>45</v>
      </c>
      <c r="B30" t="s">
        <v>476</v>
      </c>
      <c r="C30" t="s">
        <v>503</v>
      </c>
      <c r="D30" t="s">
        <v>504</v>
      </c>
      <c r="E30" t="s">
        <v>508</v>
      </c>
      <c r="F30" s="21">
        <v>25770</v>
      </c>
      <c r="G30" s="6">
        <v>77310</v>
      </c>
    </row>
    <row r="31" spans="1:7" x14ac:dyDescent="0.3">
      <c r="A31" s="1">
        <v>46</v>
      </c>
      <c r="B31" t="s">
        <v>476</v>
      </c>
      <c r="C31" t="s">
        <v>503</v>
      </c>
      <c r="D31" t="s">
        <v>509</v>
      </c>
      <c r="E31" t="s">
        <v>510</v>
      </c>
      <c r="F31" s="21">
        <v>27295</v>
      </c>
      <c r="G31" s="6">
        <v>68237.5</v>
      </c>
    </row>
    <row r="32" spans="1:7" x14ac:dyDescent="0.3">
      <c r="A32" s="1">
        <v>47</v>
      </c>
      <c r="B32" t="s">
        <v>476</v>
      </c>
      <c r="C32" t="s">
        <v>503</v>
      </c>
      <c r="D32" t="s">
        <v>509</v>
      </c>
      <c r="E32" t="s">
        <v>511</v>
      </c>
      <c r="F32" s="21">
        <v>25483</v>
      </c>
      <c r="G32" s="6">
        <v>76449</v>
      </c>
    </row>
    <row r="33" spans="1:7" x14ac:dyDescent="0.3">
      <c r="A33" s="1">
        <v>48</v>
      </c>
      <c r="B33" t="s">
        <v>476</v>
      </c>
      <c r="C33" t="s">
        <v>503</v>
      </c>
      <c r="D33" t="s">
        <v>512</v>
      </c>
      <c r="E33" t="s">
        <v>513</v>
      </c>
      <c r="F33" s="21">
        <v>25337</v>
      </c>
      <c r="G33" s="6">
        <v>63342.5</v>
      </c>
    </row>
    <row r="34" spans="1:7" x14ac:dyDescent="0.3">
      <c r="A34" s="1">
        <v>49</v>
      </c>
      <c r="B34" t="s">
        <v>476</v>
      </c>
      <c r="C34" t="s">
        <v>503</v>
      </c>
      <c r="D34" t="s">
        <v>512</v>
      </c>
      <c r="E34" t="s">
        <v>514</v>
      </c>
      <c r="F34" s="21">
        <v>26032</v>
      </c>
      <c r="G34" s="6">
        <v>78096</v>
      </c>
    </row>
    <row r="35" spans="1:7" x14ac:dyDescent="0.3">
      <c r="A35" s="1">
        <v>50</v>
      </c>
      <c r="B35" t="s">
        <v>476</v>
      </c>
      <c r="C35" t="s">
        <v>503</v>
      </c>
      <c r="D35" t="s">
        <v>512</v>
      </c>
      <c r="E35" t="s">
        <v>515</v>
      </c>
      <c r="F35" s="21">
        <v>28388</v>
      </c>
      <c r="G35" s="6">
        <v>70970</v>
      </c>
    </row>
    <row r="36" spans="1:7" x14ac:dyDescent="0.3">
      <c r="A36" s="1">
        <v>51</v>
      </c>
      <c r="B36" t="s">
        <v>476</v>
      </c>
      <c r="C36" t="s">
        <v>503</v>
      </c>
      <c r="D36" t="s">
        <v>512</v>
      </c>
      <c r="E36" t="s">
        <v>516</v>
      </c>
      <c r="F36" s="21">
        <v>25817</v>
      </c>
      <c r="G36" s="6">
        <v>77451</v>
      </c>
    </row>
    <row r="37" spans="1:7" x14ac:dyDescent="0.3">
      <c r="A37" s="1">
        <v>52</v>
      </c>
      <c r="B37" t="s">
        <v>476</v>
      </c>
      <c r="C37" t="s">
        <v>503</v>
      </c>
      <c r="D37" t="s">
        <v>517</v>
      </c>
      <c r="E37" t="s">
        <v>518</v>
      </c>
      <c r="F37" s="21">
        <v>27258</v>
      </c>
      <c r="G37" s="6">
        <v>68145</v>
      </c>
    </row>
    <row r="38" spans="1:7" x14ac:dyDescent="0.3">
      <c r="A38" s="1">
        <v>53</v>
      </c>
      <c r="B38" t="s">
        <v>476</v>
      </c>
      <c r="C38" t="s">
        <v>503</v>
      </c>
      <c r="D38" t="s">
        <v>517</v>
      </c>
      <c r="E38" t="s">
        <v>519</v>
      </c>
      <c r="F38" s="21">
        <v>25572</v>
      </c>
      <c r="G38" s="6">
        <v>76716</v>
      </c>
    </row>
    <row r="39" spans="1:7" x14ac:dyDescent="0.3">
      <c r="A39" s="1">
        <v>54</v>
      </c>
      <c r="B39" t="s">
        <v>476</v>
      </c>
      <c r="C39" t="s">
        <v>503</v>
      </c>
      <c r="D39" t="s">
        <v>517</v>
      </c>
      <c r="E39" t="s">
        <v>520</v>
      </c>
      <c r="F39" s="21">
        <v>27762</v>
      </c>
      <c r="G39" s="6">
        <v>69405</v>
      </c>
    </row>
    <row r="40" spans="1:7" x14ac:dyDescent="0.3">
      <c r="A40" s="1">
        <v>55</v>
      </c>
      <c r="B40" t="s">
        <v>476</v>
      </c>
      <c r="C40" t="s">
        <v>503</v>
      </c>
      <c r="D40" t="s">
        <v>517</v>
      </c>
      <c r="E40" t="s">
        <v>521</v>
      </c>
      <c r="F40" s="21">
        <v>26937</v>
      </c>
      <c r="G40" s="6">
        <v>107748</v>
      </c>
    </row>
    <row r="41" spans="1:7" x14ac:dyDescent="0.3">
      <c r="A41" s="1">
        <v>56</v>
      </c>
      <c r="B41" t="s">
        <v>476</v>
      </c>
      <c r="C41" t="s">
        <v>503</v>
      </c>
      <c r="D41" t="s">
        <v>517</v>
      </c>
      <c r="E41" t="s">
        <v>522</v>
      </c>
      <c r="F41" s="21">
        <v>25358</v>
      </c>
      <c r="G41" s="6">
        <v>64662.899999999994</v>
      </c>
    </row>
    <row r="42" spans="1:7" x14ac:dyDescent="0.3">
      <c r="A42" s="1">
        <v>57</v>
      </c>
      <c r="B42" t="s">
        <v>476</v>
      </c>
      <c r="C42" t="s">
        <v>503</v>
      </c>
      <c r="D42" t="s">
        <v>517</v>
      </c>
      <c r="E42" t="s">
        <v>523</v>
      </c>
      <c r="F42" s="21">
        <v>26460</v>
      </c>
      <c r="G42" s="6">
        <v>82026</v>
      </c>
    </row>
    <row r="43" spans="1:7" x14ac:dyDescent="0.3">
      <c r="A43" s="1">
        <v>58</v>
      </c>
      <c r="B43" t="s">
        <v>476</v>
      </c>
      <c r="C43" t="s">
        <v>471</v>
      </c>
      <c r="D43" t="s">
        <v>524</v>
      </c>
      <c r="E43" t="s">
        <v>525</v>
      </c>
      <c r="F43" s="21">
        <v>24346</v>
      </c>
      <c r="G43" s="6">
        <v>85211</v>
      </c>
    </row>
    <row r="44" spans="1:7" x14ac:dyDescent="0.3">
      <c r="A44" s="1">
        <v>59</v>
      </c>
      <c r="B44" t="s">
        <v>476</v>
      </c>
      <c r="C44" t="s">
        <v>471</v>
      </c>
      <c r="D44" t="s">
        <v>524</v>
      </c>
      <c r="E44" t="s">
        <v>526</v>
      </c>
      <c r="F44" s="21">
        <v>28133</v>
      </c>
      <c r="G44" s="6">
        <v>126598.5</v>
      </c>
    </row>
    <row r="45" spans="1:7" x14ac:dyDescent="0.3">
      <c r="A45" s="1">
        <v>60</v>
      </c>
      <c r="B45" t="s">
        <v>476</v>
      </c>
      <c r="C45" t="s">
        <v>471</v>
      </c>
      <c r="D45" t="s">
        <v>524</v>
      </c>
      <c r="E45" t="s">
        <v>527</v>
      </c>
      <c r="F45" s="21">
        <v>26410</v>
      </c>
      <c r="G45" s="6">
        <v>99037.5</v>
      </c>
    </row>
    <row r="46" spans="1:7" x14ac:dyDescent="0.3">
      <c r="A46" s="1">
        <v>61</v>
      </c>
      <c r="B46" t="s">
        <v>476</v>
      </c>
      <c r="C46" t="s">
        <v>471</v>
      </c>
      <c r="D46" t="s">
        <v>524</v>
      </c>
      <c r="E46" t="s">
        <v>528</v>
      </c>
      <c r="F46" s="21">
        <v>27178</v>
      </c>
      <c r="G46" s="6">
        <v>129095.5</v>
      </c>
    </row>
    <row r="47" spans="1:7" x14ac:dyDescent="0.3">
      <c r="A47" s="1">
        <v>87</v>
      </c>
      <c r="B47" t="s">
        <v>476</v>
      </c>
      <c r="C47" t="s">
        <v>477</v>
      </c>
      <c r="D47" t="s">
        <v>497</v>
      </c>
      <c r="E47" t="s">
        <v>560</v>
      </c>
      <c r="F47" s="21">
        <v>19967</v>
      </c>
      <c r="G47" s="6">
        <v>59901</v>
      </c>
    </row>
    <row r="48" spans="1:7" x14ac:dyDescent="0.3">
      <c r="B48" s="29" t="s">
        <v>656</v>
      </c>
      <c r="F48" s="21">
        <f>SUBTOTAL(9,F7:F47)</f>
        <v>1074391</v>
      </c>
      <c r="G48" s="6">
        <f>SUBTOTAL(9,G7:G47)</f>
        <v>3287622.9499999997</v>
      </c>
    </row>
    <row r="49" spans="1:7" x14ac:dyDescent="0.3">
      <c r="A49" s="1">
        <v>69</v>
      </c>
      <c r="B49" t="s">
        <v>536</v>
      </c>
      <c r="C49" t="s">
        <v>537</v>
      </c>
      <c r="D49" t="s">
        <v>545</v>
      </c>
      <c r="E49" t="s">
        <v>547</v>
      </c>
      <c r="F49" s="21">
        <v>12290</v>
      </c>
      <c r="G49" s="6">
        <v>43015</v>
      </c>
    </row>
    <row r="50" spans="1:7" x14ac:dyDescent="0.3">
      <c r="A50" s="1">
        <v>70</v>
      </c>
      <c r="B50" t="s">
        <v>536</v>
      </c>
      <c r="C50" t="s">
        <v>537</v>
      </c>
      <c r="D50" t="s">
        <v>540</v>
      </c>
      <c r="E50" t="s">
        <v>541</v>
      </c>
      <c r="F50" s="21">
        <v>12549</v>
      </c>
      <c r="G50" s="6">
        <v>40784.25</v>
      </c>
    </row>
    <row r="51" spans="1:7" x14ac:dyDescent="0.3">
      <c r="A51" s="1">
        <v>71</v>
      </c>
      <c r="B51" t="s">
        <v>536</v>
      </c>
      <c r="C51" t="s">
        <v>537</v>
      </c>
      <c r="D51" t="s">
        <v>538</v>
      </c>
      <c r="E51" t="s">
        <v>542</v>
      </c>
      <c r="F51" s="21">
        <v>19213</v>
      </c>
      <c r="G51" s="6">
        <v>72048.75</v>
      </c>
    </row>
    <row r="52" spans="1:7" x14ac:dyDescent="0.3">
      <c r="A52" s="1">
        <v>72</v>
      </c>
      <c r="B52" t="s">
        <v>536</v>
      </c>
      <c r="C52" t="s">
        <v>537</v>
      </c>
      <c r="D52" t="s">
        <v>540</v>
      </c>
      <c r="E52" t="s">
        <v>543</v>
      </c>
      <c r="F52" s="21">
        <v>15845</v>
      </c>
      <c r="G52" s="6">
        <v>51496.25</v>
      </c>
    </row>
    <row r="53" spans="1:7" x14ac:dyDescent="0.3">
      <c r="A53" s="1">
        <v>73</v>
      </c>
      <c r="B53" t="s">
        <v>536</v>
      </c>
      <c r="C53" t="s">
        <v>537</v>
      </c>
      <c r="D53" t="s">
        <v>538</v>
      </c>
      <c r="E53" t="s">
        <v>544</v>
      </c>
      <c r="F53" s="21">
        <v>11753</v>
      </c>
      <c r="G53" s="6">
        <v>44073.75</v>
      </c>
    </row>
    <row r="54" spans="1:7" x14ac:dyDescent="0.3">
      <c r="A54" s="1">
        <v>74</v>
      </c>
      <c r="B54" t="s">
        <v>536</v>
      </c>
      <c r="C54" t="s">
        <v>537</v>
      </c>
      <c r="D54" t="s">
        <v>545</v>
      </c>
      <c r="E54" t="s">
        <v>546</v>
      </c>
      <c r="F54" s="21">
        <v>11007</v>
      </c>
      <c r="G54" s="6">
        <v>38524.5</v>
      </c>
    </row>
    <row r="55" spans="1:7" x14ac:dyDescent="0.3">
      <c r="A55" s="1">
        <v>75</v>
      </c>
      <c r="B55" t="s">
        <v>536</v>
      </c>
      <c r="C55" t="s">
        <v>537</v>
      </c>
      <c r="D55" t="s">
        <v>538</v>
      </c>
      <c r="E55" t="s">
        <v>539</v>
      </c>
      <c r="F55" s="21">
        <v>11837</v>
      </c>
      <c r="G55" s="6">
        <v>38470.25</v>
      </c>
    </row>
    <row r="56" spans="1:7" x14ac:dyDescent="0.3">
      <c r="A56" s="1">
        <v>76</v>
      </c>
      <c r="B56" t="s">
        <v>536</v>
      </c>
      <c r="C56" t="s">
        <v>537</v>
      </c>
      <c r="D56" t="s">
        <v>545</v>
      </c>
      <c r="E56" t="s">
        <v>548</v>
      </c>
      <c r="F56" s="21">
        <v>11571</v>
      </c>
      <c r="G56" s="6">
        <v>40498.5</v>
      </c>
    </row>
    <row r="57" spans="1:7" x14ac:dyDescent="0.3">
      <c r="A57" s="1">
        <v>77</v>
      </c>
      <c r="B57" t="s">
        <v>536</v>
      </c>
      <c r="C57" t="s">
        <v>537</v>
      </c>
      <c r="D57" t="s">
        <v>540</v>
      </c>
      <c r="E57" t="s">
        <v>549</v>
      </c>
      <c r="F57" s="21">
        <v>11065</v>
      </c>
      <c r="G57" s="6">
        <v>33195</v>
      </c>
    </row>
    <row r="58" spans="1:7" x14ac:dyDescent="0.3">
      <c r="A58" s="1">
        <v>78</v>
      </c>
      <c r="B58" t="s">
        <v>536</v>
      </c>
      <c r="C58" t="s">
        <v>537</v>
      </c>
      <c r="D58" t="s">
        <v>540</v>
      </c>
      <c r="E58" t="s">
        <v>550</v>
      </c>
      <c r="F58" s="21">
        <v>11837</v>
      </c>
      <c r="G58" s="6">
        <v>53266.5</v>
      </c>
    </row>
    <row r="59" spans="1:7" x14ac:dyDescent="0.3">
      <c r="A59" s="1">
        <v>79</v>
      </c>
      <c r="B59" t="s">
        <v>536</v>
      </c>
      <c r="C59" t="s">
        <v>537</v>
      </c>
      <c r="D59" t="s">
        <v>540</v>
      </c>
      <c r="E59" t="s">
        <v>551</v>
      </c>
      <c r="F59" s="21">
        <v>12466</v>
      </c>
      <c r="G59" s="6">
        <v>46747.5</v>
      </c>
    </row>
    <row r="60" spans="1:7" x14ac:dyDescent="0.3">
      <c r="B60" s="29" t="s">
        <v>657</v>
      </c>
      <c r="F60" s="21">
        <f>SUBTOTAL(9,F49:F59)</f>
        <v>141433</v>
      </c>
      <c r="G60" s="6">
        <f>SUBTOTAL(9,G49:G59)</f>
        <v>502120.25</v>
      </c>
    </row>
    <row r="61" spans="1:7" x14ac:dyDescent="0.3">
      <c r="A61" s="1">
        <v>81</v>
      </c>
      <c r="B61" t="s">
        <v>552</v>
      </c>
      <c r="C61" t="s">
        <v>553</v>
      </c>
      <c r="D61" t="s">
        <v>554</v>
      </c>
      <c r="E61" t="s">
        <v>555</v>
      </c>
      <c r="F61" s="21">
        <v>1429</v>
      </c>
      <c r="G61" s="6">
        <v>40012</v>
      </c>
    </row>
    <row r="62" spans="1:7" x14ac:dyDescent="0.3">
      <c r="A62" s="1">
        <v>82</v>
      </c>
      <c r="B62" t="s">
        <v>552</v>
      </c>
      <c r="C62" t="s">
        <v>553</v>
      </c>
      <c r="D62" t="s">
        <v>556</v>
      </c>
      <c r="E62" t="s">
        <v>557</v>
      </c>
      <c r="F62" s="21">
        <v>1385</v>
      </c>
      <c r="G62" s="6">
        <v>16620</v>
      </c>
    </row>
    <row r="63" spans="1:7" x14ac:dyDescent="0.3">
      <c r="A63" s="1">
        <v>83</v>
      </c>
      <c r="B63" t="s">
        <v>552</v>
      </c>
      <c r="C63" t="s">
        <v>553</v>
      </c>
      <c r="D63" t="s">
        <v>556</v>
      </c>
      <c r="E63" t="s">
        <v>558</v>
      </c>
      <c r="F63" s="21">
        <v>1883</v>
      </c>
      <c r="G63" s="6">
        <v>26362</v>
      </c>
    </row>
    <row r="64" spans="1:7" x14ac:dyDescent="0.3">
      <c r="B64" s="29" t="s">
        <v>658</v>
      </c>
      <c r="F64" s="21">
        <f>SUBTOTAL(9,F61:F63)</f>
        <v>4697</v>
      </c>
      <c r="G64" s="6">
        <f>SUBTOTAL(9,G61:G63)</f>
        <v>82994</v>
      </c>
    </row>
    <row r="65" spans="1:7" x14ac:dyDescent="0.3">
      <c r="A65" s="1">
        <v>1</v>
      </c>
      <c r="B65" t="s">
        <v>440</v>
      </c>
      <c r="C65" t="s">
        <v>441</v>
      </c>
      <c r="D65" t="s">
        <v>442</v>
      </c>
      <c r="E65" t="s">
        <v>443</v>
      </c>
      <c r="F65" s="21">
        <v>1289</v>
      </c>
      <c r="G65" s="6">
        <v>23202</v>
      </c>
    </row>
    <row r="66" spans="1:7" x14ac:dyDescent="0.3">
      <c r="A66" s="1">
        <v>2</v>
      </c>
      <c r="B66" t="s">
        <v>440</v>
      </c>
      <c r="C66" t="s">
        <v>441</v>
      </c>
      <c r="D66" t="s">
        <v>444</v>
      </c>
      <c r="E66" t="s">
        <v>445</v>
      </c>
      <c r="F66" s="21">
        <v>1186</v>
      </c>
      <c r="G66" s="6">
        <v>21348</v>
      </c>
    </row>
    <row r="67" spans="1:7" x14ac:dyDescent="0.3">
      <c r="A67" s="1">
        <v>3</v>
      </c>
      <c r="B67" t="s">
        <v>440</v>
      </c>
      <c r="C67" t="s">
        <v>441</v>
      </c>
      <c r="D67" t="s">
        <v>446</v>
      </c>
      <c r="E67" t="s">
        <v>447</v>
      </c>
      <c r="F67" s="21">
        <v>988</v>
      </c>
      <c r="G67" s="6">
        <v>14573</v>
      </c>
    </row>
    <row r="68" spans="1:7" x14ac:dyDescent="0.3">
      <c r="A68" s="1">
        <v>4</v>
      </c>
      <c r="B68" t="s">
        <v>440</v>
      </c>
      <c r="C68" t="s">
        <v>441</v>
      </c>
      <c r="D68" t="s">
        <v>446</v>
      </c>
      <c r="E68" t="s">
        <v>448</v>
      </c>
      <c r="F68" s="21">
        <v>891</v>
      </c>
      <c r="G68" s="6">
        <v>18220.95</v>
      </c>
    </row>
    <row r="69" spans="1:7" x14ac:dyDescent="0.3">
      <c r="A69" s="1">
        <v>5</v>
      </c>
      <c r="B69" t="s">
        <v>440</v>
      </c>
      <c r="C69" t="s">
        <v>441</v>
      </c>
      <c r="D69" t="s">
        <v>449</v>
      </c>
      <c r="E69" t="s">
        <v>450</v>
      </c>
      <c r="F69" s="21">
        <v>908</v>
      </c>
      <c r="G69" s="6">
        <v>13620</v>
      </c>
    </row>
    <row r="70" spans="1:7" x14ac:dyDescent="0.3">
      <c r="A70" s="1">
        <v>6</v>
      </c>
      <c r="B70" t="s">
        <v>440</v>
      </c>
      <c r="C70" t="s">
        <v>441</v>
      </c>
      <c r="D70" t="s">
        <v>449</v>
      </c>
      <c r="E70" t="s">
        <v>202</v>
      </c>
      <c r="F70" s="21">
        <v>1326</v>
      </c>
      <c r="G70" s="6">
        <v>27846</v>
      </c>
    </row>
    <row r="71" spans="1:7" x14ac:dyDescent="0.3">
      <c r="A71" s="1">
        <v>7</v>
      </c>
      <c r="B71" t="s">
        <v>440</v>
      </c>
      <c r="C71" t="s">
        <v>441</v>
      </c>
      <c r="D71" t="s">
        <v>451</v>
      </c>
      <c r="E71" t="s">
        <v>452</v>
      </c>
      <c r="F71" s="21">
        <v>926</v>
      </c>
      <c r="G71" s="6">
        <v>18288.5</v>
      </c>
    </row>
    <row r="72" spans="1:7" x14ac:dyDescent="0.3">
      <c r="A72" s="1">
        <v>8</v>
      </c>
      <c r="B72" t="s">
        <v>440</v>
      </c>
      <c r="C72" t="s">
        <v>441</v>
      </c>
      <c r="D72" t="s">
        <v>451</v>
      </c>
      <c r="E72" t="s">
        <v>453</v>
      </c>
      <c r="F72" s="21">
        <v>1479</v>
      </c>
      <c r="G72" s="6">
        <v>66555</v>
      </c>
    </row>
    <row r="73" spans="1:7" x14ac:dyDescent="0.3">
      <c r="A73" s="1">
        <v>9</v>
      </c>
      <c r="B73" t="s">
        <v>440</v>
      </c>
      <c r="C73" t="s">
        <v>441</v>
      </c>
      <c r="D73" t="s">
        <v>442</v>
      </c>
      <c r="E73" t="s">
        <v>454</v>
      </c>
      <c r="F73" s="21">
        <v>1233</v>
      </c>
      <c r="G73" s="6">
        <v>27742.5</v>
      </c>
    </row>
    <row r="74" spans="1:7" x14ac:dyDescent="0.3">
      <c r="A74" s="1">
        <v>10</v>
      </c>
      <c r="B74" t="s">
        <v>440</v>
      </c>
      <c r="C74" t="s">
        <v>441</v>
      </c>
      <c r="D74" t="s">
        <v>455</v>
      </c>
      <c r="E74" t="s">
        <v>456</v>
      </c>
      <c r="F74" s="21">
        <v>869</v>
      </c>
      <c r="G74" s="6">
        <v>8690</v>
      </c>
    </row>
    <row r="75" spans="1:7" x14ac:dyDescent="0.3">
      <c r="A75" s="1">
        <v>11</v>
      </c>
      <c r="B75" t="s">
        <v>440</v>
      </c>
      <c r="C75" t="s">
        <v>457</v>
      </c>
      <c r="D75" t="s">
        <v>458</v>
      </c>
      <c r="E75" t="s">
        <v>459</v>
      </c>
      <c r="F75" s="21">
        <v>981</v>
      </c>
      <c r="G75" s="6">
        <v>8779.9499999999989</v>
      </c>
    </row>
    <row r="76" spans="1:7" x14ac:dyDescent="0.3">
      <c r="A76" s="1">
        <v>12</v>
      </c>
      <c r="B76" t="s">
        <v>440</v>
      </c>
      <c r="C76" t="s">
        <v>457</v>
      </c>
      <c r="D76" t="s">
        <v>458</v>
      </c>
      <c r="E76" t="s">
        <v>460</v>
      </c>
      <c r="F76" s="21">
        <v>861</v>
      </c>
      <c r="G76" s="6">
        <v>7705.95</v>
      </c>
    </row>
    <row r="77" spans="1:7" x14ac:dyDescent="0.3">
      <c r="A77" s="1">
        <v>13</v>
      </c>
      <c r="B77" t="s">
        <v>440</v>
      </c>
      <c r="C77" t="s">
        <v>457</v>
      </c>
      <c r="D77" t="s">
        <v>461</v>
      </c>
      <c r="E77" t="s">
        <v>462</v>
      </c>
      <c r="F77" s="21">
        <v>1000</v>
      </c>
      <c r="G77" s="6">
        <v>8950</v>
      </c>
    </row>
    <row r="78" spans="1:7" x14ac:dyDescent="0.3">
      <c r="A78" s="1">
        <v>14</v>
      </c>
      <c r="B78" t="s">
        <v>440</v>
      </c>
      <c r="C78" t="s">
        <v>457</v>
      </c>
      <c r="D78" t="s">
        <v>461</v>
      </c>
      <c r="E78" t="s">
        <v>463</v>
      </c>
      <c r="F78" s="21">
        <v>864</v>
      </c>
      <c r="G78" s="6">
        <v>7732.7999999999993</v>
      </c>
    </row>
    <row r="79" spans="1:7" x14ac:dyDescent="0.3">
      <c r="A79" s="1">
        <v>15</v>
      </c>
      <c r="B79" t="s">
        <v>440</v>
      </c>
      <c r="C79" t="s">
        <v>457</v>
      </c>
      <c r="D79" t="s">
        <v>464</v>
      </c>
      <c r="E79" t="s">
        <v>465</v>
      </c>
      <c r="F79" s="21">
        <v>908</v>
      </c>
      <c r="G79" s="6">
        <v>8399</v>
      </c>
    </row>
    <row r="80" spans="1:7" x14ac:dyDescent="0.3">
      <c r="A80" s="1">
        <v>16</v>
      </c>
      <c r="B80" t="s">
        <v>440</v>
      </c>
      <c r="C80" t="s">
        <v>457</v>
      </c>
      <c r="D80" t="s">
        <v>466</v>
      </c>
      <c r="E80" t="s">
        <v>467</v>
      </c>
      <c r="F80" s="21">
        <v>938</v>
      </c>
      <c r="G80" s="6">
        <v>8395.0999999999985</v>
      </c>
    </row>
    <row r="81" spans="1:7" x14ac:dyDescent="0.3">
      <c r="A81" s="1">
        <v>17</v>
      </c>
      <c r="B81" t="s">
        <v>440</v>
      </c>
      <c r="C81" t="s">
        <v>457</v>
      </c>
      <c r="D81" t="s">
        <v>466</v>
      </c>
      <c r="E81" t="s">
        <v>468</v>
      </c>
      <c r="F81" s="21">
        <v>1061</v>
      </c>
      <c r="G81" s="6">
        <v>10079.5</v>
      </c>
    </row>
    <row r="82" spans="1:7" x14ac:dyDescent="0.3">
      <c r="A82" s="1">
        <v>18</v>
      </c>
      <c r="B82" t="s">
        <v>440</v>
      </c>
      <c r="C82" t="s">
        <v>457</v>
      </c>
      <c r="D82" t="s">
        <v>466</v>
      </c>
      <c r="E82" t="s">
        <v>469</v>
      </c>
      <c r="F82" s="21">
        <v>768</v>
      </c>
      <c r="G82" s="6">
        <v>8409.5999999999985</v>
      </c>
    </row>
    <row r="83" spans="1:7" x14ac:dyDescent="0.3">
      <c r="A83" s="1">
        <v>19</v>
      </c>
      <c r="B83" t="s">
        <v>440</v>
      </c>
      <c r="C83" t="s">
        <v>470</v>
      </c>
      <c r="D83" t="s">
        <v>471</v>
      </c>
      <c r="E83" t="s">
        <v>472</v>
      </c>
      <c r="F83" s="21">
        <v>672</v>
      </c>
      <c r="G83" s="6">
        <v>4300.8</v>
      </c>
    </row>
    <row r="84" spans="1:7" x14ac:dyDescent="0.3">
      <c r="A84" s="1">
        <v>20</v>
      </c>
      <c r="B84" t="s">
        <v>440</v>
      </c>
      <c r="C84" t="s">
        <v>470</v>
      </c>
      <c r="D84" t="s">
        <v>473</v>
      </c>
      <c r="E84" t="s">
        <v>474</v>
      </c>
      <c r="F84" s="21">
        <v>1271</v>
      </c>
      <c r="G84" s="6">
        <v>9659.6</v>
      </c>
    </row>
    <row r="85" spans="1:7" x14ac:dyDescent="0.3">
      <c r="A85" s="1">
        <v>21</v>
      </c>
      <c r="B85" t="s">
        <v>440</v>
      </c>
      <c r="C85" t="s">
        <v>470</v>
      </c>
      <c r="D85" t="s">
        <v>471</v>
      </c>
      <c r="E85" t="s">
        <v>475</v>
      </c>
      <c r="F85" s="21">
        <v>872</v>
      </c>
      <c r="G85" s="6">
        <v>11623.76</v>
      </c>
    </row>
    <row r="86" spans="1:7" x14ac:dyDescent="0.3">
      <c r="B86" s="29" t="s">
        <v>659</v>
      </c>
      <c r="F86" s="21">
        <f>SUBTOTAL(9,F65:F85)</f>
        <v>21291</v>
      </c>
      <c r="G86" s="6">
        <f>SUBTOTAL(9,G65:G85)</f>
        <v>334122.00999999995</v>
      </c>
    </row>
    <row r="87" spans="1:7" x14ac:dyDescent="0.3">
      <c r="B87" s="29" t="s">
        <v>28</v>
      </c>
      <c r="F87" s="21">
        <f>SUBTOTAL(9,F2:F85)</f>
        <v>1305637</v>
      </c>
      <c r="G87" s="6">
        <f>SUBTOTAL(9,G2:G85)</f>
        <v>4257919.209999999</v>
      </c>
    </row>
  </sheetData>
  <autoFilter ref="A1:G85" xr:uid="{0D962FA6-A43E-4BC1-A885-4E0ED716CD08}">
    <sortState xmlns:xlrd2="http://schemas.microsoft.com/office/spreadsheetml/2017/richdata2" ref="A2:G85">
      <sortCondition ref="B1:B85"/>
    </sortState>
  </autoFilter>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A94C2-5FFA-4B73-A28D-7C0D2680E060}">
  <sheetPr>
    <tabColor theme="8" tint="0.59999389629810485"/>
  </sheetPr>
  <dimension ref="A1:K26"/>
  <sheetViews>
    <sheetView workbookViewId="0">
      <selection activeCell="H13" sqref="H13"/>
    </sheetView>
  </sheetViews>
  <sheetFormatPr defaultRowHeight="14.4" x14ac:dyDescent="0.3"/>
  <cols>
    <col min="1" max="1" width="16.6640625" bestFit="1" customWidth="1"/>
    <col min="7" max="7" width="16.6640625" bestFit="1" customWidth="1"/>
  </cols>
  <sheetData>
    <row r="1" spans="1:11" x14ac:dyDescent="0.3">
      <c r="A1" s="50" t="s">
        <v>574</v>
      </c>
      <c r="B1" s="50"/>
      <c r="C1" s="50"/>
      <c r="D1" s="50"/>
      <c r="E1" s="50"/>
      <c r="G1" s="50" t="s">
        <v>577</v>
      </c>
      <c r="H1" s="50"/>
      <c r="I1" s="50"/>
      <c r="J1" s="50"/>
      <c r="K1" s="50"/>
    </row>
    <row r="2" spans="1:11" x14ac:dyDescent="0.3">
      <c r="A2" s="28" t="s">
        <v>561</v>
      </c>
      <c r="B2" s="28" t="s">
        <v>570</v>
      </c>
      <c r="C2" s="28" t="s">
        <v>571</v>
      </c>
      <c r="D2" s="28" t="s">
        <v>572</v>
      </c>
      <c r="E2" s="28" t="s">
        <v>573</v>
      </c>
      <c r="G2" s="28" t="s">
        <v>561</v>
      </c>
      <c r="H2" s="28" t="s">
        <v>570</v>
      </c>
      <c r="I2" s="28" t="s">
        <v>571</v>
      </c>
      <c r="J2" s="28" t="s">
        <v>572</v>
      </c>
      <c r="K2" s="28" t="s">
        <v>573</v>
      </c>
    </row>
    <row r="3" spans="1:11" x14ac:dyDescent="0.3">
      <c r="A3" t="s">
        <v>476</v>
      </c>
      <c r="B3" s="6">
        <v>108110.89999999804</v>
      </c>
      <c r="C3" s="6">
        <v>131578.29999999728</v>
      </c>
      <c r="D3" s="6">
        <v>126159.04999999776</v>
      </c>
      <c r="E3" s="6">
        <v>140993.24999999837</v>
      </c>
      <c r="G3" t="s">
        <v>476</v>
      </c>
      <c r="H3" s="6">
        <v>316404.04999999539</v>
      </c>
      <c r="I3" s="6">
        <v>383907.29999999312</v>
      </c>
      <c r="J3" s="6">
        <v>367838.74999999383</v>
      </c>
      <c r="K3" s="6">
        <v>412387.64999999519</v>
      </c>
    </row>
    <row r="4" spans="1:11" x14ac:dyDescent="0.3">
      <c r="A4" t="s">
        <v>536</v>
      </c>
      <c r="B4" s="6">
        <v>15699.75</v>
      </c>
      <c r="C4" s="6">
        <v>19002.75</v>
      </c>
      <c r="D4" s="6">
        <v>18172.5</v>
      </c>
      <c r="E4" s="6">
        <v>20247.5</v>
      </c>
      <c r="G4" t="s">
        <v>536</v>
      </c>
      <c r="H4" s="6">
        <v>48326.939999999944</v>
      </c>
      <c r="I4" s="6">
        <v>58639.839999999982</v>
      </c>
      <c r="J4" s="6">
        <v>56064.759999999973</v>
      </c>
      <c r="K4" s="6">
        <v>62821.579999999987</v>
      </c>
    </row>
    <row r="5" spans="1:11" x14ac:dyDescent="0.3">
      <c r="A5" t="s">
        <v>440</v>
      </c>
      <c r="B5" s="6">
        <v>8926.5299999999916</v>
      </c>
      <c r="C5" s="6">
        <v>10767.760000000022</v>
      </c>
      <c r="D5" s="6">
        <v>10171.400000000014</v>
      </c>
      <c r="E5" s="6">
        <v>11000.110000000022</v>
      </c>
      <c r="G5" t="s">
        <v>440</v>
      </c>
      <c r="H5" s="6">
        <v>31288.050000000039</v>
      </c>
      <c r="I5" s="6">
        <v>38990.320000000153</v>
      </c>
      <c r="J5" s="6">
        <v>37774.970000000132</v>
      </c>
      <c r="K5" s="6">
        <v>41339.94000000017</v>
      </c>
    </row>
    <row r="6" spans="1:11" x14ac:dyDescent="0.3">
      <c r="A6" t="s">
        <v>552</v>
      </c>
      <c r="B6" s="6">
        <v>3248</v>
      </c>
      <c r="C6" s="6">
        <v>3829</v>
      </c>
      <c r="D6" s="6">
        <v>3779</v>
      </c>
      <c r="E6" s="6">
        <v>4371</v>
      </c>
      <c r="G6" t="s">
        <v>552</v>
      </c>
      <c r="H6" s="6">
        <v>7794</v>
      </c>
      <c r="I6" s="6">
        <v>9869</v>
      </c>
      <c r="J6" s="6">
        <v>9213</v>
      </c>
      <c r="K6" s="6">
        <v>10827</v>
      </c>
    </row>
    <row r="7" spans="1:11" x14ac:dyDescent="0.3">
      <c r="A7" s="8" t="s">
        <v>529</v>
      </c>
      <c r="B7" s="35">
        <v>1075.199999999996</v>
      </c>
      <c r="C7" s="35">
        <v>1259.1999999999848</v>
      </c>
      <c r="D7" s="35">
        <v>1220.7999999999877</v>
      </c>
      <c r="E7" s="35">
        <v>1395.999999999977</v>
      </c>
      <c r="G7" s="8" t="s">
        <v>529</v>
      </c>
      <c r="H7" s="35">
        <v>4977.5999999999131</v>
      </c>
      <c r="I7" s="35">
        <v>5980.7999999998974</v>
      </c>
      <c r="J7" s="35">
        <v>5686.3999999998996</v>
      </c>
      <c r="K7" s="35">
        <v>6412.799999999891</v>
      </c>
    </row>
    <row r="8" spans="1:11" x14ac:dyDescent="0.3">
      <c r="A8" s="29" t="s">
        <v>28</v>
      </c>
      <c r="B8" s="34">
        <v>137060.37999999803</v>
      </c>
      <c r="C8" s="34">
        <v>166437.00999999727</v>
      </c>
      <c r="D8" s="34">
        <v>159502.74999999779</v>
      </c>
      <c r="E8" s="34">
        <v>178007.85999999836</v>
      </c>
      <c r="G8" s="29" t="s">
        <v>28</v>
      </c>
      <c r="H8" s="34">
        <v>408790.63999999524</v>
      </c>
      <c r="I8" s="34">
        <v>497387.25999999314</v>
      </c>
      <c r="J8" s="34">
        <v>476577.87999999389</v>
      </c>
      <c r="K8" s="34">
        <v>533788.96999999532</v>
      </c>
    </row>
    <row r="10" spans="1:11" x14ac:dyDescent="0.3">
      <c r="A10" s="50" t="s">
        <v>575</v>
      </c>
      <c r="B10" s="50"/>
      <c r="C10" s="50"/>
      <c r="D10" s="50"/>
      <c r="E10" s="50"/>
    </row>
    <row r="11" spans="1:11" x14ac:dyDescent="0.3">
      <c r="A11" s="28" t="s">
        <v>561</v>
      </c>
      <c r="B11" s="28" t="s">
        <v>570</v>
      </c>
      <c r="C11" s="28" t="s">
        <v>571</v>
      </c>
      <c r="D11" s="28" t="s">
        <v>572</v>
      </c>
      <c r="E11" s="28" t="s">
        <v>573</v>
      </c>
    </row>
    <row r="12" spans="1:11" x14ac:dyDescent="0.3">
      <c r="A12" t="s">
        <v>476</v>
      </c>
      <c r="B12" s="6">
        <v>104200.19999999882</v>
      </c>
      <c r="C12" s="6">
        <v>125505.04999999799</v>
      </c>
      <c r="D12" s="6">
        <v>121090.94999999799</v>
      </c>
      <c r="E12" s="6">
        <v>134841.14999999831</v>
      </c>
    </row>
    <row r="13" spans="1:11" x14ac:dyDescent="0.3">
      <c r="A13" t="s">
        <v>536</v>
      </c>
      <c r="B13" s="6">
        <v>16615.78999999995</v>
      </c>
      <c r="C13" s="6">
        <v>20265.939999999984</v>
      </c>
      <c r="D13" s="6">
        <v>19442.159999999974</v>
      </c>
      <c r="E13" s="6">
        <v>21688.62999999999</v>
      </c>
    </row>
    <row r="14" spans="1:11" x14ac:dyDescent="0.3">
      <c r="A14" t="s">
        <v>440</v>
      </c>
      <c r="B14" s="6">
        <v>9852.7400000000052</v>
      </c>
      <c r="C14" s="6">
        <v>11884.090000000035</v>
      </c>
      <c r="D14" s="6">
        <v>11037.100000000024</v>
      </c>
      <c r="E14" s="6">
        <v>12762.770000000037</v>
      </c>
    </row>
    <row r="15" spans="1:11" x14ac:dyDescent="0.3">
      <c r="A15" t="s">
        <v>552</v>
      </c>
      <c r="B15" s="6">
        <v>3640</v>
      </c>
      <c r="C15" s="6">
        <v>4718</v>
      </c>
      <c r="D15" s="6">
        <v>4484</v>
      </c>
      <c r="E15" s="6">
        <v>4986</v>
      </c>
    </row>
    <row r="16" spans="1:11" x14ac:dyDescent="0.3">
      <c r="A16" s="8" t="s">
        <v>529</v>
      </c>
      <c r="B16" s="35">
        <v>2271.9999999999527</v>
      </c>
      <c r="C16" s="35">
        <v>2735.1999999999684</v>
      </c>
      <c r="D16" s="35">
        <v>2592.7999999999597</v>
      </c>
      <c r="E16" s="35">
        <v>2907.9999999999723</v>
      </c>
    </row>
    <row r="17" spans="1:5" x14ac:dyDescent="0.3">
      <c r="A17" s="29" t="s">
        <v>28</v>
      </c>
      <c r="B17" s="34">
        <v>136580.72999999873</v>
      </c>
      <c r="C17" s="34">
        <v>165108.27999999796</v>
      </c>
      <c r="D17" s="34">
        <v>158647.00999999797</v>
      </c>
      <c r="E17" s="34">
        <v>177186.54999999833</v>
      </c>
    </row>
    <row r="19" spans="1:5" x14ac:dyDescent="0.3">
      <c r="A19" s="50" t="s">
        <v>576</v>
      </c>
      <c r="B19" s="50"/>
      <c r="C19" s="50"/>
      <c r="D19" s="50"/>
      <c r="E19" s="50"/>
    </row>
    <row r="20" spans="1:5" x14ac:dyDescent="0.3">
      <c r="A20" s="28" t="s">
        <v>561</v>
      </c>
      <c r="B20" s="28" t="s">
        <v>570</v>
      </c>
      <c r="C20" s="28" t="s">
        <v>571</v>
      </c>
      <c r="D20" s="28" t="s">
        <v>572</v>
      </c>
      <c r="E20" s="28" t="s">
        <v>573</v>
      </c>
    </row>
    <row r="21" spans="1:5" x14ac:dyDescent="0.3">
      <c r="A21" t="s">
        <v>476</v>
      </c>
      <c r="B21" s="6">
        <v>104092.94999999853</v>
      </c>
      <c r="C21" s="6">
        <v>126823.94999999786</v>
      </c>
      <c r="D21" s="6">
        <v>120588.74999999809</v>
      </c>
      <c r="E21" s="6">
        <v>136553.24999999854</v>
      </c>
    </row>
    <row r="22" spans="1:5" x14ac:dyDescent="0.3">
      <c r="A22" t="s">
        <v>536</v>
      </c>
      <c r="B22" s="6">
        <v>16011.399999999998</v>
      </c>
      <c r="C22" s="6">
        <v>19371.149999999994</v>
      </c>
      <c r="D22" s="6">
        <v>18450.099999999999</v>
      </c>
      <c r="E22" s="6">
        <v>20885.449999999997</v>
      </c>
    </row>
    <row r="23" spans="1:5" x14ac:dyDescent="0.3">
      <c r="A23" t="s">
        <v>440</v>
      </c>
      <c r="B23" s="6">
        <v>12508.780000000042</v>
      </c>
      <c r="C23" s="6">
        <v>16338.470000000099</v>
      </c>
      <c r="D23" s="6">
        <v>16566.470000000099</v>
      </c>
      <c r="E23" s="6">
        <v>17577.06000000011</v>
      </c>
    </row>
    <row r="24" spans="1:5" x14ac:dyDescent="0.3">
      <c r="A24" t="s">
        <v>529</v>
      </c>
      <c r="B24" s="6">
        <v>1630.3999999999637</v>
      </c>
      <c r="C24" s="6">
        <v>1986.3999999999446</v>
      </c>
      <c r="D24" s="6">
        <v>1872.7999999999518</v>
      </c>
      <c r="E24" s="6">
        <v>2108.799999999942</v>
      </c>
    </row>
    <row r="25" spans="1:5" x14ac:dyDescent="0.3">
      <c r="A25" s="8" t="s">
        <v>552</v>
      </c>
      <c r="B25" s="35">
        <v>906</v>
      </c>
      <c r="C25" s="35">
        <v>1322</v>
      </c>
      <c r="D25" s="35">
        <v>950</v>
      </c>
      <c r="E25" s="35">
        <v>1470</v>
      </c>
    </row>
    <row r="26" spans="1:5" x14ac:dyDescent="0.3">
      <c r="A26" s="29" t="s">
        <v>28</v>
      </c>
      <c r="B26" s="34">
        <v>135149.52999999851</v>
      </c>
      <c r="C26" s="34">
        <v>165841.96999999788</v>
      </c>
      <c r="D26" s="34">
        <v>158428.11999999813</v>
      </c>
      <c r="E26" s="34">
        <v>178594.5599999986</v>
      </c>
    </row>
  </sheetData>
  <dataConsolidate leftLabels="1">
    <dataRefs count="3">
      <dataRef ref="A3:E8" sheet="Sales by Store"/>
      <dataRef ref="A12:E17" sheet="Sales by Store"/>
      <dataRef ref="A21:E26" sheet="Sales by Store"/>
    </dataRefs>
  </dataConsolidate>
  <mergeCells count="4">
    <mergeCell ref="A1:E1"/>
    <mergeCell ref="A10:E10"/>
    <mergeCell ref="A19:E19"/>
    <mergeCell ref="G1:K1"/>
  </mergeCells>
  <phoneticPr fontId="2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85DF-0F30-4F67-A9FC-AA9BA07ED29A}">
  <sheetPr>
    <tabColor theme="8" tint="0.59999389629810485"/>
  </sheetPr>
  <dimension ref="A1:B8"/>
  <sheetViews>
    <sheetView showGridLines="0" workbookViewId="0">
      <selection activeCell="F15" sqref="F15"/>
    </sheetView>
  </sheetViews>
  <sheetFormatPr defaultRowHeight="14.4" x14ac:dyDescent="0.3"/>
  <cols>
    <col min="1" max="1" width="14.33203125" bestFit="1" customWidth="1"/>
    <col min="2" max="2" width="14.33203125" customWidth="1"/>
  </cols>
  <sheetData>
    <row r="1" spans="1:2" ht="15" thickBot="1" x14ac:dyDescent="0.35">
      <c r="A1" s="51" t="s">
        <v>567</v>
      </c>
      <c r="B1" s="51"/>
    </row>
    <row r="2" spans="1:2" ht="15" thickBot="1" x14ac:dyDescent="0.35">
      <c r="A2" s="4" t="s">
        <v>566</v>
      </c>
      <c r="B2" s="33">
        <v>250</v>
      </c>
    </row>
    <row r="3" spans="1:2" ht="15" thickBot="1" x14ac:dyDescent="0.35">
      <c r="A3" s="4" t="s">
        <v>568</v>
      </c>
      <c r="B3" s="31">
        <v>16.5</v>
      </c>
    </row>
    <row r="4" spans="1:2" ht="15" thickBot="1" x14ac:dyDescent="0.35">
      <c r="A4" s="4" t="s">
        <v>44</v>
      </c>
      <c r="B4" s="31">
        <v>22</v>
      </c>
    </row>
    <row r="5" spans="1:2" ht="3.75" customHeight="1" thickBot="1" x14ac:dyDescent="0.35">
      <c r="A5" s="4"/>
      <c r="B5" s="4"/>
    </row>
    <row r="6" spans="1:2" ht="15" thickBot="1" x14ac:dyDescent="0.35">
      <c r="A6" s="9" t="s">
        <v>578</v>
      </c>
      <c r="B6" s="32">
        <v>590.90909090909088</v>
      </c>
    </row>
    <row r="7" spans="1:2" ht="3.75" customHeight="1" thickBot="1" x14ac:dyDescent="0.35">
      <c r="A7" s="4"/>
      <c r="B7" s="4"/>
    </row>
    <row r="8" spans="1:2" ht="30" customHeight="1" thickBot="1" x14ac:dyDescent="0.35">
      <c r="A8" s="30" t="s">
        <v>569</v>
      </c>
      <c r="B8" s="52">
        <f>IFERROR((B4-B3)*B6-B2,"")</f>
        <v>3000</v>
      </c>
    </row>
  </sheetData>
  <mergeCells count="1">
    <mergeCell ref="A1:B1"/>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C1D7B-7BA5-4021-8B69-C3E3D3ADE824}">
  <sheetPr>
    <tabColor rgb="FFD00000"/>
  </sheetPr>
  <dimension ref="A1"/>
  <sheetViews>
    <sheetView showGridLines="0" workbookViewId="0"/>
  </sheetViews>
  <sheetFormatPr defaultRowHeight="14.4" x14ac:dyDescent="0.3"/>
  <cols>
    <col min="1" max="1" width="2.88671875" customWidth="1"/>
  </cols>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8748-30E8-46B2-8E23-A9FC6381DB6D}">
  <sheetPr>
    <tabColor rgb="FFFF9999"/>
  </sheetPr>
  <dimension ref="A1:F230"/>
  <sheetViews>
    <sheetView workbookViewId="0">
      <selection activeCell="D9" sqref="D9"/>
    </sheetView>
  </sheetViews>
  <sheetFormatPr defaultRowHeight="14.4" x14ac:dyDescent="0.3"/>
  <cols>
    <col min="1" max="1" width="11.88671875" bestFit="1" customWidth="1"/>
    <col min="3" max="3" width="14.6640625" bestFit="1" customWidth="1"/>
    <col min="4" max="4" width="50.5546875" bestFit="1" customWidth="1"/>
    <col min="5" max="5" width="14.6640625" bestFit="1" customWidth="1"/>
    <col min="6" max="6" width="18.88671875" bestFit="1" customWidth="1"/>
  </cols>
  <sheetData>
    <row r="1" spans="1:6" ht="18" x14ac:dyDescent="0.35">
      <c r="A1" s="53" t="s">
        <v>626</v>
      </c>
      <c r="B1" s="53"/>
      <c r="C1" s="53"/>
      <c r="D1" s="53"/>
      <c r="E1" s="53"/>
      <c r="F1" s="53"/>
    </row>
    <row r="2" spans="1:6" x14ac:dyDescent="0.3">
      <c r="A2" s="37" t="s">
        <v>579</v>
      </c>
      <c r="B2" s="37" t="s">
        <v>580</v>
      </c>
      <c r="C2" s="37" t="s">
        <v>581</v>
      </c>
      <c r="D2" s="37" t="s">
        <v>583</v>
      </c>
      <c r="E2" s="37" t="s">
        <v>584</v>
      </c>
      <c r="F2" s="37" t="s">
        <v>582</v>
      </c>
    </row>
    <row r="3" spans="1:6" x14ac:dyDescent="0.3">
      <c r="A3" s="2">
        <v>43832</v>
      </c>
      <c r="B3" s="42">
        <v>0.76041666666666663</v>
      </c>
      <c r="C3" t="s">
        <v>649</v>
      </c>
      <c r="D3" t="s">
        <v>588</v>
      </c>
      <c r="E3" t="s">
        <v>601</v>
      </c>
      <c r="F3" s="1">
        <v>0</v>
      </c>
    </row>
    <row r="4" spans="1:6" x14ac:dyDescent="0.3">
      <c r="A4" s="2">
        <v>43833</v>
      </c>
      <c r="B4" s="42">
        <v>0.47222222222222227</v>
      </c>
      <c r="C4" t="s">
        <v>650</v>
      </c>
      <c r="D4" t="s">
        <v>588</v>
      </c>
      <c r="E4" t="s">
        <v>586</v>
      </c>
      <c r="F4" s="1">
        <v>0</v>
      </c>
    </row>
    <row r="5" spans="1:6" x14ac:dyDescent="0.3">
      <c r="A5" s="2">
        <v>43833</v>
      </c>
      <c r="B5" s="42">
        <v>0.54166666666666663</v>
      </c>
      <c r="C5" t="s">
        <v>651</v>
      </c>
      <c r="D5" t="s">
        <v>590</v>
      </c>
      <c r="E5" t="s">
        <v>591</v>
      </c>
      <c r="F5" s="1">
        <v>1</v>
      </c>
    </row>
    <row r="6" spans="1:6" x14ac:dyDescent="0.3">
      <c r="A6" s="2">
        <v>43834</v>
      </c>
      <c r="B6" s="42">
        <v>0.20486111111111113</v>
      </c>
      <c r="C6" t="s">
        <v>652</v>
      </c>
      <c r="D6" t="s">
        <v>597</v>
      </c>
      <c r="E6" t="s">
        <v>618</v>
      </c>
      <c r="F6" s="1">
        <v>0</v>
      </c>
    </row>
    <row r="7" spans="1:6" x14ac:dyDescent="0.3">
      <c r="A7" s="2">
        <v>43834</v>
      </c>
      <c r="B7" s="42">
        <v>0.46319444444444446</v>
      </c>
      <c r="C7" t="s">
        <v>650</v>
      </c>
      <c r="D7" t="s">
        <v>602</v>
      </c>
      <c r="E7" t="s">
        <v>624</v>
      </c>
      <c r="F7" s="1">
        <v>0</v>
      </c>
    </row>
    <row r="8" spans="1:6" x14ac:dyDescent="0.3">
      <c r="A8" s="2">
        <v>43835</v>
      </c>
      <c r="B8" s="42">
        <v>0.40208333333333335</v>
      </c>
      <c r="C8" t="s">
        <v>650</v>
      </c>
      <c r="D8" t="s">
        <v>587</v>
      </c>
      <c r="E8" t="s">
        <v>586</v>
      </c>
      <c r="F8" s="1">
        <v>0</v>
      </c>
    </row>
    <row r="9" spans="1:6" x14ac:dyDescent="0.3">
      <c r="A9" s="2">
        <v>43835</v>
      </c>
      <c r="B9" s="42">
        <v>0.65277777777777779</v>
      </c>
      <c r="C9" t="s">
        <v>650</v>
      </c>
      <c r="D9" t="s">
        <v>588</v>
      </c>
      <c r="E9" t="s">
        <v>618</v>
      </c>
      <c r="F9" s="1">
        <v>0</v>
      </c>
    </row>
    <row r="10" spans="1:6" x14ac:dyDescent="0.3">
      <c r="A10" s="2">
        <v>43836</v>
      </c>
      <c r="B10" s="42">
        <v>0.44097222222222227</v>
      </c>
      <c r="C10" t="s">
        <v>650</v>
      </c>
      <c r="D10" t="s">
        <v>587</v>
      </c>
      <c r="E10" t="s">
        <v>586</v>
      </c>
      <c r="F10" s="1">
        <v>0</v>
      </c>
    </row>
    <row r="11" spans="1:6" x14ac:dyDescent="0.3">
      <c r="A11" s="2">
        <v>43837</v>
      </c>
      <c r="B11" s="42">
        <v>0.69097222222222221</v>
      </c>
      <c r="C11" t="s">
        <v>650</v>
      </c>
      <c r="D11" t="s">
        <v>617</v>
      </c>
      <c r="E11" t="s">
        <v>623</v>
      </c>
      <c r="F11" s="1">
        <v>0</v>
      </c>
    </row>
    <row r="12" spans="1:6" x14ac:dyDescent="0.3">
      <c r="A12" s="2">
        <v>43838</v>
      </c>
      <c r="B12" s="42">
        <v>0.47222222222222227</v>
      </c>
      <c r="C12" t="s">
        <v>650</v>
      </c>
      <c r="D12" t="s">
        <v>587</v>
      </c>
      <c r="E12" t="s">
        <v>618</v>
      </c>
      <c r="F12" s="1">
        <v>0</v>
      </c>
    </row>
    <row r="13" spans="1:6" x14ac:dyDescent="0.3">
      <c r="A13" s="2">
        <v>43839</v>
      </c>
      <c r="B13" s="42">
        <v>0.43402777777777773</v>
      </c>
      <c r="C13" t="s">
        <v>650</v>
      </c>
      <c r="D13" t="s">
        <v>604</v>
      </c>
      <c r="E13" t="s">
        <v>618</v>
      </c>
      <c r="F13" s="1">
        <v>0</v>
      </c>
    </row>
    <row r="14" spans="1:6" x14ac:dyDescent="0.3">
      <c r="A14" s="2">
        <v>43839</v>
      </c>
      <c r="B14" s="42">
        <v>0.4375</v>
      </c>
      <c r="C14" t="s">
        <v>650</v>
      </c>
      <c r="D14" t="s">
        <v>597</v>
      </c>
      <c r="E14" t="s">
        <v>598</v>
      </c>
      <c r="F14" s="1">
        <v>0</v>
      </c>
    </row>
    <row r="15" spans="1:6" x14ac:dyDescent="0.3">
      <c r="A15" s="2">
        <v>43839</v>
      </c>
      <c r="B15" s="42">
        <v>0.51597222222222217</v>
      </c>
      <c r="C15" t="s">
        <v>650</v>
      </c>
      <c r="D15" t="s">
        <v>590</v>
      </c>
      <c r="E15" t="s">
        <v>601</v>
      </c>
      <c r="F15" s="1">
        <v>0</v>
      </c>
    </row>
    <row r="16" spans="1:6" x14ac:dyDescent="0.3">
      <c r="A16" s="2">
        <v>43841</v>
      </c>
      <c r="B16" s="42">
        <v>0.23611111111111113</v>
      </c>
      <c r="C16" t="s">
        <v>649</v>
      </c>
      <c r="D16" t="s">
        <v>588</v>
      </c>
      <c r="E16" t="s">
        <v>586</v>
      </c>
      <c r="F16" s="1">
        <v>0</v>
      </c>
    </row>
    <row r="17" spans="1:6" x14ac:dyDescent="0.3">
      <c r="A17" s="2">
        <v>43841</v>
      </c>
      <c r="B17" s="42">
        <v>0.54236111111111118</v>
      </c>
      <c r="C17" t="s">
        <v>649</v>
      </c>
      <c r="D17" t="s">
        <v>592</v>
      </c>
      <c r="E17" t="s">
        <v>608</v>
      </c>
      <c r="F17" s="1">
        <v>0</v>
      </c>
    </row>
    <row r="18" spans="1:6" x14ac:dyDescent="0.3">
      <c r="A18" s="2">
        <v>43843</v>
      </c>
      <c r="B18" s="42">
        <v>0.36458333333333331</v>
      </c>
      <c r="C18" t="s">
        <v>652</v>
      </c>
      <c r="D18" t="s">
        <v>587</v>
      </c>
      <c r="E18" t="s">
        <v>618</v>
      </c>
      <c r="F18" s="1">
        <v>1</v>
      </c>
    </row>
    <row r="19" spans="1:6" x14ac:dyDescent="0.3">
      <c r="A19" s="2">
        <v>43843</v>
      </c>
      <c r="B19" s="42">
        <v>0.54166666666666663</v>
      </c>
      <c r="C19" t="s">
        <v>649</v>
      </c>
      <c r="D19" t="s">
        <v>587</v>
      </c>
      <c r="E19" t="s">
        <v>598</v>
      </c>
      <c r="F19" s="1">
        <v>0</v>
      </c>
    </row>
    <row r="20" spans="1:6" x14ac:dyDescent="0.3">
      <c r="A20" s="2">
        <v>43843</v>
      </c>
      <c r="B20" s="42">
        <v>0.59583333333333333</v>
      </c>
      <c r="C20" t="s">
        <v>650</v>
      </c>
      <c r="D20" t="s">
        <v>599</v>
      </c>
      <c r="E20" t="s">
        <v>586</v>
      </c>
      <c r="F20" s="1">
        <v>0</v>
      </c>
    </row>
    <row r="21" spans="1:6" x14ac:dyDescent="0.3">
      <c r="A21" s="2">
        <v>43843</v>
      </c>
      <c r="B21" s="42">
        <v>0.625</v>
      </c>
      <c r="C21" t="s">
        <v>649</v>
      </c>
      <c r="D21" t="s">
        <v>602</v>
      </c>
      <c r="E21" t="s">
        <v>608</v>
      </c>
      <c r="F21" s="1">
        <v>0</v>
      </c>
    </row>
    <row r="22" spans="1:6" x14ac:dyDescent="0.3">
      <c r="A22" s="2">
        <v>43844</v>
      </c>
      <c r="B22" s="42">
        <v>0.42777777777777781</v>
      </c>
      <c r="C22" t="s">
        <v>652</v>
      </c>
      <c r="D22" t="s">
        <v>599</v>
      </c>
      <c r="E22" t="s">
        <v>598</v>
      </c>
      <c r="F22" s="1">
        <v>0</v>
      </c>
    </row>
    <row r="23" spans="1:6" x14ac:dyDescent="0.3">
      <c r="A23" s="2">
        <v>43844</v>
      </c>
      <c r="B23" s="42">
        <v>0.59305555555555556</v>
      </c>
      <c r="C23" t="s">
        <v>649</v>
      </c>
      <c r="D23" t="s">
        <v>592</v>
      </c>
      <c r="E23" t="s">
        <v>591</v>
      </c>
      <c r="F23" s="1">
        <v>1</v>
      </c>
    </row>
    <row r="24" spans="1:6" x14ac:dyDescent="0.3">
      <c r="A24" s="2">
        <v>43845</v>
      </c>
      <c r="B24" s="42">
        <v>0.51388888888888895</v>
      </c>
      <c r="C24" t="s">
        <v>649</v>
      </c>
      <c r="D24" t="s">
        <v>602</v>
      </c>
      <c r="E24" t="s">
        <v>607</v>
      </c>
      <c r="F24" s="1">
        <v>0</v>
      </c>
    </row>
    <row r="25" spans="1:6" x14ac:dyDescent="0.3">
      <c r="A25" s="2">
        <v>43845</v>
      </c>
      <c r="B25" s="42">
        <v>0.51388888888888895</v>
      </c>
      <c r="C25" t="s">
        <v>652</v>
      </c>
      <c r="D25" t="s">
        <v>587</v>
      </c>
      <c r="E25" t="s">
        <v>586</v>
      </c>
      <c r="F25" s="1">
        <v>0</v>
      </c>
    </row>
    <row r="26" spans="1:6" x14ac:dyDescent="0.3">
      <c r="A26" s="2">
        <v>43846</v>
      </c>
      <c r="B26" s="42">
        <v>0.2673611111111111</v>
      </c>
      <c r="C26" t="s">
        <v>649</v>
      </c>
      <c r="D26" t="s">
        <v>585</v>
      </c>
      <c r="E26" t="s">
        <v>601</v>
      </c>
      <c r="F26" s="1">
        <v>0</v>
      </c>
    </row>
    <row r="27" spans="1:6" x14ac:dyDescent="0.3">
      <c r="A27" s="2">
        <v>43846</v>
      </c>
      <c r="B27" s="42">
        <v>0.47916666666666669</v>
      </c>
      <c r="C27" t="s">
        <v>650</v>
      </c>
      <c r="D27" t="s">
        <v>595</v>
      </c>
      <c r="E27" t="s">
        <v>624</v>
      </c>
      <c r="F27" s="1">
        <v>0</v>
      </c>
    </row>
    <row r="28" spans="1:6" x14ac:dyDescent="0.3">
      <c r="A28" s="2">
        <v>43846</v>
      </c>
      <c r="B28" s="42">
        <v>0.625</v>
      </c>
      <c r="C28" t="s">
        <v>652</v>
      </c>
      <c r="D28" t="s">
        <v>587</v>
      </c>
      <c r="E28" t="s">
        <v>618</v>
      </c>
      <c r="F28" s="1">
        <v>0</v>
      </c>
    </row>
    <row r="29" spans="1:6" x14ac:dyDescent="0.3">
      <c r="A29" s="2">
        <v>43847</v>
      </c>
      <c r="B29" s="42">
        <v>0.36458333333333331</v>
      </c>
      <c r="C29" t="s">
        <v>649</v>
      </c>
      <c r="D29" t="s">
        <v>588</v>
      </c>
      <c r="E29" t="s">
        <v>589</v>
      </c>
      <c r="F29" s="1">
        <v>0</v>
      </c>
    </row>
    <row r="30" spans="1:6" x14ac:dyDescent="0.3">
      <c r="A30" s="2">
        <v>43847</v>
      </c>
      <c r="B30" s="42">
        <v>0.38194444444444442</v>
      </c>
      <c r="C30" t="s">
        <v>649</v>
      </c>
      <c r="D30" t="s">
        <v>587</v>
      </c>
      <c r="E30" t="s">
        <v>586</v>
      </c>
      <c r="F30" s="1">
        <v>0</v>
      </c>
    </row>
    <row r="31" spans="1:6" x14ac:dyDescent="0.3">
      <c r="A31" s="2">
        <v>43847</v>
      </c>
      <c r="B31" s="42">
        <v>0.49652777777777773</v>
      </c>
      <c r="C31" t="s">
        <v>649</v>
      </c>
      <c r="D31" t="s">
        <v>587</v>
      </c>
      <c r="E31" t="s">
        <v>586</v>
      </c>
      <c r="F31" s="1">
        <v>0</v>
      </c>
    </row>
    <row r="32" spans="1:6" x14ac:dyDescent="0.3">
      <c r="A32" s="2">
        <v>43851</v>
      </c>
      <c r="B32" s="42">
        <v>0.30555555555555552</v>
      </c>
      <c r="C32" t="s">
        <v>651</v>
      </c>
      <c r="D32" t="s">
        <v>587</v>
      </c>
      <c r="E32" t="s">
        <v>622</v>
      </c>
      <c r="F32" s="1">
        <v>0</v>
      </c>
    </row>
    <row r="33" spans="1:6" x14ac:dyDescent="0.3">
      <c r="A33" s="2">
        <v>43851</v>
      </c>
      <c r="B33" s="42">
        <v>0.42708333333333331</v>
      </c>
      <c r="C33" t="s">
        <v>649</v>
      </c>
      <c r="D33" t="s">
        <v>590</v>
      </c>
      <c r="E33" t="s">
        <v>586</v>
      </c>
      <c r="F33" s="1">
        <v>0</v>
      </c>
    </row>
    <row r="34" spans="1:6" x14ac:dyDescent="0.3">
      <c r="A34" s="2">
        <v>43851</v>
      </c>
      <c r="B34" s="42">
        <v>0.54166666666666663</v>
      </c>
      <c r="C34" t="s">
        <v>652</v>
      </c>
      <c r="D34" t="s">
        <v>588</v>
      </c>
      <c r="E34" t="s">
        <v>618</v>
      </c>
      <c r="F34" s="1">
        <v>0</v>
      </c>
    </row>
    <row r="35" spans="1:6" x14ac:dyDescent="0.3">
      <c r="A35" s="2">
        <v>43851</v>
      </c>
      <c r="B35" s="42">
        <v>0.58333333333333337</v>
      </c>
      <c r="C35" t="s">
        <v>650</v>
      </c>
      <c r="D35" t="s">
        <v>588</v>
      </c>
      <c r="E35" t="s">
        <v>586</v>
      </c>
      <c r="F35" s="1">
        <v>0</v>
      </c>
    </row>
    <row r="36" spans="1:6" x14ac:dyDescent="0.3">
      <c r="A36" s="2">
        <v>43852</v>
      </c>
      <c r="B36" s="42">
        <v>0.51736111111111105</v>
      </c>
      <c r="C36" t="s">
        <v>649</v>
      </c>
      <c r="D36" t="s">
        <v>590</v>
      </c>
      <c r="E36" t="s">
        <v>618</v>
      </c>
      <c r="F36" s="1">
        <v>0</v>
      </c>
    </row>
    <row r="37" spans="1:6" x14ac:dyDescent="0.3">
      <c r="A37" s="2">
        <v>43853</v>
      </c>
      <c r="B37" s="42">
        <v>0.54861111111111105</v>
      </c>
      <c r="C37" t="s">
        <v>651</v>
      </c>
      <c r="D37" t="s">
        <v>609</v>
      </c>
      <c r="E37" t="s">
        <v>618</v>
      </c>
      <c r="F37" s="1">
        <v>0</v>
      </c>
    </row>
    <row r="38" spans="1:6" x14ac:dyDescent="0.3">
      <c r="A38" s="2">
        <v>43853</v>
      </c>
      <c r="B38" s="42">
        <v>0.61111111111111105</v>
      </c>
      <c r="C38" t="s">
        <v>649</v>
      </c>
      <c r="D38" t="s">
        <v>588</v>
      </c>
      <c r="E38" t="s">
        <v>618</v>
      </c>
      <c r="F38" s="1">
        <v>0</v>
      </c>
    </row>
    <row r="39" spans="1:6" x14ac:dyDescent="0.3">
      <c r="A39" s="2">
        <v>43854</v>
      </c>
      <c r="B39" s="42">
        <v>0.3520833333333333</v>
      </c>
      <c r="C39" t="s">
        <v>650</v>
      </c>
      <c r="D39" t="s">
        <v>590</v>
      </c>
      <c r="E39" t="s">
        <v>586</v>
      </c>
      <c r="F39" s="1">
        <v>0</v>
      </c>
    </row>
    <row r="40" spans="1:6" x14ac:dyDescent="0.3">
      <c r="A40" s="2">
        <v>43855</v>
      </c>
      <c r="B40" s="42">
        <v>0.65625</v>
      </c>
      <c r="C40" t="s">
        <v>649</v>
      </c>
      <c r="D40" t="s">
        <v>606</v>
      </c>
      <c r="E40" t="s">
        <v>618</v>
      </c>
      <c r="F40" s="1">
        <v>0</v>
      </c>
    </row>
    <row r="41" spans="1:6" x14ac:dyDescent="0.3">
      <c r="A41" s="2">
        <v>43857</v>
      </c>
      <c r="B41" s="42">
        <v>0.73263888888888884</v>
      </c>
      <c r="C41" t="s">
        <v>651</v>
      </c>
      <c r="D41" t="s">
        <v>587</v>
      </c>
      <c r="E41" t="s">
        <v>618</v>
      </c>
      <c r="F41" s="1">
        <v>0</v>
      </c>
    </row>
    <row r="42" spans="1:6" x14ac:dyDescent="0.3">
      <c r="A42" s="2">
        <v>43859</v>
      </c>
      <c r="B42" s="42">
        <v>0.41944444444444445</v>
      </c>
      <c r="C42" t="s">
        <v>649</v>
      </c>
      <c r="D42" t="s">
        <v>609</v>
      </c>
      <c r="E42" t="s">
        <v>586</v>
      </c>
      <c r="F42" s="1">
        <v>0</v>
      </c>
    </row>
    <row r="43" spans="1:6" x14ac:dyDescent="0.3">
      <c r="A43" s="2">
        <v>43860</v>
      </c>
      <c r="B43" s="42">
        <v>0.35416666666666669</v>
      </c>
      <c r="C43" t="s">
        <v>649</v>
      </c>
      <c r="D43" t="s">
        <v>611</v>
      </c>
      <c r="E43" t="s">
        <v>586</v>
      </c>
      <c r="F43" s="1">
        <v>0</v>
      </c>
    </row>
    <row r="44" spans="1:6" x14ac:dyDescent="0.3">
      <c r="A44" s="2">
        <v>43860</v>
      </c>
      <c r="B44" s="42">
        <v>0.42777777777777781</v>
      </c>
      <c r="C44" t="s">
        <v>649</v>
      </c>
      <c r="D44" t="s">
        <v>602</v>
      </c>
      <c r="E44" t="s">
        <v>586</v>
      </c>
      <c r="F44" s="1">
        <v>0</v>
      </c>
    </row>
    <row r="45" spans="1:6" x14ac:dyDescent="0.3">
      <c r="A45" s="2">
        <v>43863</v>
      </c>
      <c r="B45" s="42">
        <v>0.63541666666666663</v>
      </c>
      <c r="C45" t="s">
        <v>652</v>
      </c>
      <c r="D45" t="s">
        <v>585</v>
      </c>
      <c r="E45" t="s">
        <v>586</v>
      </c>
      <c r="F45" s="1">
        <v>0</v>
      </c>
    </row>
    <row r="46" spans="1:6" x14ac:dyDescent="0.3">
      <c r="A46" s="2">
        <v>43863</v>
      </c>
      <c r="B46" s="42">
        <v>0.74652777777777779</v>
      </c>
      <c r="C46" t="s">
        <v>650</v>
      </c>
      <c r="D46" t="s">
        <v>587</v>
      </c>
      <c r="E46" t="s">
        <v>591</v>
      </c>
      <c r="F46" s="1">
        <v>1</v>
      </c>
    </row>
    <row r="47" spans="1:6" x14ac:dyDescent="0.3">
      <c r="A47" s="2">
        <v>43864</v>
      </c>
      <c r="B47" s="42">
        <v>0.1423611111111111</v>
      </c>
      <c r="C47" t="s">
        <v>651</v>
      </c>
      <c r="D47" t="s">
        <v>604</v>
      </c>
      <c r="E47" t="s">
        <v>605</v>
      </c>
      <c r="F47" s="1">
        <v>0</v>
      </c>
    </row>
    <row r="48" spans="1:6" x14ac:dyDescent="0.3">
      <c r="A48" s="2">
        <v>43864</v>
      </c>
      <c r="B48" s="42">
        <v>0.36458333333333331</v>
      </c>
      <c r="C48" t="s">
        <v>649</v>
      </c>
      <c r="D48" t="s">
        <v>590</v>
      </c>
      <c r="E48" t="s">
        <v>601</v>
      </c>
      <c r="F48" s="1">
        <v>0</v>
      </c>
    </row>
    <row r="49" spans="1:6" x14ac:dyDescent="0.3">
      <c r="A49" s="2">
        <v>43864</v>
      </c>
      <c r="B49" s="42">
        <v>0.6645833333333333</v>
      </c>
      <c r="C49" t="s">
        <v>650</v>
      </c>
      <c r="D49" t="s">
        <v>588</v>
      </c>
      <c r="E49" t="s">
        <v>623</v>
      </c>
      <c r="F49" s="1">
        <v>0</v>
      </c>
    </row>
    <row r="50" spans="1:6" x14ac:dyDescent="0.3">
      <c r="A50" s="2">
        <v>43864</v>
      </c>
      <c r="B50" s="42">
        <v>0.88680555555555562</v>
      </c>
      <c r="C50" t="s">
        <v>649</v>
      </c>
      <c r="D50" t="s">
        <v>590</v>
      </c>
      <c r="E50" t="s">
        <v>586</v>
      </c>
      <c r="F50" s="1">
        <v>0</v>
      </c>
    </row>
    <row r="51" spans="1:6" x14ac:dyDescent="0.3">
      <c r="A51" s="2">
        <v>43867</v>
      </c>
      <c r="B51" s="42">
        <v>0.42569444444444443</v>
      </c>
      <c r="C51" t="s">
        <v>650</v>
      </c>
      <c r="D51" t="s">
        <v>609</v>
      </c>
      <c r="E51" t="s">
        <v>624</v>
      </c>
      <c r="F51" s="1">
        <v>1</v>
      </c>
    </row>
    <row r="52" spans="1:6" x14ac:dyDescent="0.3">
      <c r="A52" s="2">
        <v>43868</v>
      </c>
      <c r="B52" s="42">
        <v>0.28819444444444448</v>
      </c>
      <c r="C52" t="s">
        <v>649</v>
      </c>
      <c r="D52" t="s">
        <v>590</v>
      </c>
      <c r="E52" t="s">
        <v>618</v>
      </c>
      <c r="F52" s="1">
        <v>1</v>
      </c>
    </row>
    <row r="53" spans="1:6" x14ac:dyDescent="0.3">
      <c r="A53" s="2">
        <v>43868</v>
      </c>
      <c r="B53" s="42">
        <v>0.55208333333333337</v>
      </c>
      <c r="C53" t="s">
        <v>650</v>
      </c>
      <c r="D53" t="s">
        <v>587</v>
      </c>
      <c r="E53" t="s">
        <v>624</v>
      </c>
      <c r="F53" s="1">
        <v>0</v>
      </c>
    </row>
    <row r="54" spans="1:6" x14ac:dyDescent="0.3">
      <c r="A54" s="2">
        <v>43868</v>
      </c>
      <c r="B54" s="42">
        <v>0.66111111111111109</v>
      </c>
      <c r="C54" t="s">
        <v>649</v>
      </c>
      <c r="D54" t="s">
        <v>606</v>
      </c>
      <c r="E54" t="s">
        <v>605</v>
      </c>
      <c r="F54" s="1">
        <v>0</v>
      </c>
    </row>
    <row r="55" spans="1:6" x14ac:dyDescent="0.3">
      <c r="A55" s="2">
        <v>43868</v>
      </c>
      <c r="B55" s="42">
        <v>0.69444444444444453</v>
      </c>
      <c r="C55" t="s">
        <v>649</v>
      </c>
      <c r="D55" t="s">
        <v>602</v>
      </c>
      <c r="E55" t="s">
        <v>618</v>
      </c>
      <c r="F55" s="1">
        <v>0</v>
      </c>
    </row>
    <row r="56" spans="1:6" x14ac:dyDescent="0.3">
      <c r="A56" s="2">
        <v>43870</v>
      </c>
      <c r="B56" s="42">
        <v>0.42152777777777778</v>
      </c>
      <c r="C56" t="s">
        <v>650</v>
      </c>
      <c r="D56" t="s">
        <v>587</v>
      </c>
      <c r="E56" t="s">
        <v>586</v>
      </c>
      <c r="F56" s="1">
        <v>0</v>
      </c>
    </row>
    <row r="57" spans="1:6" x14ac:dyDescent="0.3">
      <c r="A57" s="2">
        <v>43871</v>
      </c>
      <c r="B57" s="42">
        <v>0.45347222222222222</v>
      </c>
      <c r="C57" t="s">
        <v>649</v>
      </c>
      <c r="D57" t="s">
        <v>609</v>
      </c>
      <c r="E57" t="s">
        <v>624</v>
      </c>
      <c r="F57" s="1">
        <v>0</v>
      </c>
    </row>
    <row r="58" spans="1:6" x14ac:dyDescent="0.3">
      <c r="A58" s="2">
        <v>43871</v>
      </c>
      <c r="B58" s="42">
        <v>0.65277777777777779</v>
      </c>
      <c r="C58" t="s">
        <v>649</v>
      </c>
      <c r="D58" t="s">
        <v>590</v>
      </c>
      <c r="E58" t="s">
        <v>622</v>
      </c>
      <c r="F58" s="1">
        <v>0</v>
      </c>
    </row>
    <row r="59" spans="1:6" x14ac:dyDescent="0.3">
      <c r="A59" s="2">
        <v>43871</v>
      </c>
      <c r="B59" s="42">
        <v>0.8305555555555556</v>
      </c>
      <c r="C59" t="s">
        <v>651</v>
      </c>
      <c r="D59" t="s">
        <v>590</v>
      </c>
      <c r="E59" t="s">
        <v>586</v>
      </c>
      <c r="F59" s="1">
        <v>0</v>
      </c>
    </row>
    <row r="60" spans="1:6" x14ac:dyDescent="0.3">
      <c r="A60" s="2">
        <v>43872</v>
      </c>
      <c r="B60" s="42">
        <v>0.3923611111111111</v>
      </c>
      <c r="C60" t="s">
        <v>650</v>
      </c>
      <c r="D60" t="s">
        <v>587</v>
      </c>
      <c r="E60" t="s">
        <v>618</v>
      </c>
      <c r="F60" s="1">
        <v>0</v>
      </c>
    </row>
    <row r="61" spans="1:6" x14ac:dyDescent="0.3">
      <c r="A61" s="2">
        <v>43873</v>
      </c>
      <c r="B61" s="42">
        <v>0.4375</v>
      </c>
      <c r="C61" t="s">
        <v>649</v>
      </c>
      <c r="D61" t="s">
        <v>619</v>
      </c>
      <c r="E61" t="s">
        <v>618</v>
      </c>
      <c r="F61" s="1">
        <v>0</v>
      </c>
    </row>
    <row r="62" spans="1:6" x14ac:dyDescent="0.3">
      <c r="A62" s="2">
        <v>43873</v>
      </c>
      <c r="B62" s="42">
        <v>0.57638888888888895</v>
      </c>
      <c r="C62" t="s">
        <v>650</v>
      </c>
      <c r="D62" t="s">
        <v>587</v>
      </c>
      <c r="E62" t="s">
        <v>618</v>
      </c>
      <c r="F62" s="1">
        <v>0</v>
      </c>
    </row>
    <row r="63" spans="1:6" x14ac:dyDescent="0.3">
      <c r="A63" s="2">
        <v>43873</v>
      </c>
      <c r="B63" s="42">
        <v>0.64930555555555558</v>
      </c>
      <c r="C63" t="s">
        <v>649</v>
      </c>
      <c r="D63" t="s">
        <v>587</v>
      </c>
      <c r="E63" t="s">
        <v>586</v>
      </c>
      <c r="F63" s="1">
        <v>0</v>
      </c>
    </row>
    <row r="64" spans="1:6" x14ac:dyDescent="0.3">
      <c r="A64" s="2">
        <v>43874</v>
      </c>
      <c r="B64" s="42">
        <v>0.72777777777777775</v>
      </c>
      <c r="C64" t="s">
        <v>649</v>
      </c>
      <c r="D64" t="s">
        <v>602</v>
      </c>
      <c r="E64" t="s">
        <v>618</v>
      </c>
      <c r="F64" s="1">
        <v>0</v>
      </c>
    </row>
    <row r="65" spans="1:6" x14ac:dyDescent="0.3">
      <c r="A65" s="2">
        <v>43875</v>
      </c>
      <c r="B65" s="42">
        <v>0.3888888888888889</v>
      </c>
      <c r="C65" t="s">
        <v>649</v>
      </c>
      <c r="D65" t="s">
        <v>588</v>
      </c>
      <c r="E65" t="s">
        <v>608</v>
      </c>
      <c r="F65" s="1">
        <v>0</v>
      </c>
    </row>
    <row r="66" spans="1:6" x14ac:dyDescent="0.3">
      <c r="A66" s="2">
        <v>43875</v>
      </c>
      <c r="B66" s="42">
        <v>0.3888888888888889</v>
      </c>
      <c r="C66" t="s">
        <v>649</v>
      </c>
      <c r="D66" t="s">
        <v>599</v>
      </c>
      <c r="E66" t="s">
        <v>586</v>
      </c>
      <c r="F66" s="1">
        <v>0</v>
      </c>
    </row>
    <row r="67" spans="1:6" x14ac:dyDescent="0.3">
      <c r="A67" s="2">
        <v>43875</v>
      </c>
      <c r="B67" s="42">
        <v>0.67013888888888884</v>
      </c>
      <c r="C67" t="s">
        <v>649</v>
      </c>
      <c r="D67" t="s">
        <v>609</v>
      </c>
      <c r="E67" t="s">
        <v>586</v>
      </c>
      <c r="F67" s="1">
        <v>0</v>
      </c>
    </row>
    <row r="68" spans="1:6" x14ac:dyDescent="0.3">
      <c r="A68" s="2">
        <v>43875</v>
      </c>
      <c r="B68" s="42">
        <v>0.71180555555555547</v>
      </c>
      <c r="C68" t="s">
        <v>649</v>
      </c>
      <c r="D68" t="s">
        <v>609</v>
      </c>
      <c r="E68" t="s">
        <v>622</v>
      </c>
      <c r="F68" s="1">
        <v>0</v>
      </c>
    </row>
    <row r="69" spans="1:6" x14ac:dyDescent="0.3">
      <c r="A69" s="2">
        <v>43878</v>
      </c>
      <c r="B69" s="42">
        <v>0.45833333333333331</v>
      </c>
      <c r="C69" t="s">
        <v>652</v>
      </c>
      <c r="D69" t="s">
        <v>587</v>
      </c>
      <c r="E69" t="s">
        <v>586</v>
      </c>
      <c r="F69" s="1">
        <v>0</v>
      </c>
    </row>
    <row r="70" spans="1:6" x14ac:dyDescent="0.3">
      <c r="A70" s="2">
        <v>43879</v>
      </c>
      <c r="B70" s="42">
        <v>0.3923611111111111</v>
      </c>
      <c r="C70" t="s">
        <v>652</v>
      </c>
      <c r="D70" t="s">
        <v>587</v>
      </c>
      <c r="E70" t="s">
        <v>622</v>
      </c>
      <c r="F70" s="1">
        <v>1</v>
      </c>
    </row>
    <row r="71" spans="1:6" x14ac:dyDescent="0.3">
      <c r="A71" s="2">
        <v>43879</v>
      </c>
      <c r="B71" s="42">
        <v>0.76388888888888884</v>
      </c>
      <c r="C71" t="s">
        <v>650</v>
      </c>
      <c r="D71" t="s">
        <v>590</v>
      </c>
      <c r="E71" t="s">
        <v>591</v>
      </c>
      <c r="F71" s="1">
        <v>1</v>
      </c>
    </row>
    <row r="72" spans="1:6" x14ac:dyDescent="0.3">
      <c r="A72" s="2">
        <v>43880</v>
      </c>
      <c r="B72" s="42">
        <v>0.4861111111111111</v>
      </c>
      <c r="C72" t="s">
        <v>650</v>
      </c>
      <c r="D72" t="s">
        <v>590</v>
      </c>
      <c r="E72" t="s">
        <v>622</v>
      </c>
      <c r="F72" s="1">
        <v>0</v>
      </c>
    </row>
    <row r="73" spans="1:6" x14ac:dyDescent="0.3">
      <c r="A73" s="2">
        <v>43880</v>
      </c>
      <c r="B73" s="42">
        <v>0.54513888888888895</v>
      </c>
      <c r="C73" t="s">
        <v>649</v>
      </c>
      <c r="D73" t="s">
        <v>587</v>
      </c>
      <c r="E73" t="s">
        <v>618</v>
      </c>
      <c r="F73" s="1">
        <v>0</v>
      </c>
    </row>
    <row r="74" spans="1:6" x14ac:dyDescent="0.3">
      <c r="A74" s="2">
        <v>43881</v>
      </c>
      <c r="B74" s="42">
        <v>0.62986111111111109</v>
      </c>
      <c r="C74" t="s">
        <v>650</v>
      </c>
      <c r="D74" t="s">
        <v>587</v>
      </c>
      <c r="E74" t="s">
        <v>601</v>
      </c>
      <c r="F74" s="1">
        <v>0</v>
      </c>
    </row>
    <row r="75" spans="1:6" x14ac:dyDescent="0.3">
      <c r="A75" s="2">
        <v>43881</v>
      </c>
      <c r="B75" s="42">
        <v>0.6875</v>
      </c>
      <c r="C75" t="s">
        <v>650</v>
      </c>
      <c r="D75" t="s">
        <v>604</v>
      </c>
      <c r="E75" t="s">
        <v>618</v>
      </c>
      <c r="F75" s="1">
        <v>0</v>
      </c>
    </row>
    <row r="76" spans="1:6" x14ac:dyDescent="0.3">
      <c r="A76" s="2">
        <v>43884</v>
      </c>
      <c r="B76" s="42">
        <v>0.5</v>
      </c>
      <c r="C76" t="s">
        <v>649</v>
      </c>
      <c r="D76" t="s">
        <v>588</v>
      </c>
      <c r="E76" t="s">
        <v>598</v>
      </c>
      <c r="F76" s="1">
        <v>0</v>
      </c>
    </row>
    <row r="77" spans="1:6" x14ac:dyDescent="0.3">
      <c r="A77" s="2">
        <v>43884</v>
      </c>
      <c r="B77" s="42">
        <v>0.83333333333333337</v>
      </c>
      <c r="C77" t="s">
        <v>649</v>
      </c>
      <c r="D77" t="s">
        <v>602</v>
      </c>
      <c r="E77" t="s">
        <v>586</v>
      </c>
      <c r="F77" s="1">
        <v>0</v>
      </c>
    </row>
    <row r="78" spans="1:6" x14ac:dyDescent="0.3">
      <c r="A78" s="2">
        <v>43885</v>
      </c>
      <c r="B78" s="42">
        <v>0.35069444444444442</v>
      </c>
      <c r="C78" t="s">
        <v>652</v>
      </c>
      <c r="D78" t="s">
        <v>593</v>
      </c>
      <c r="E78" t="s">
        <v>591</v>
      </c>
      <c r="F78" s="1">
        <v>1</v>
      </c>
    </row>
    <row r="79" spans="1:6" x14ac:dyDescent="0.3">
      <c r="A79" s="2">
        <v>43885</v>
      </c>
      <c r="B79" s="42">
        <v>0.55694444444444446</v>
      </c>
      <c r="C79" t="s">
        <v>649</v>
      </c>
      <c r="D79" t="s">
        <v>600</v>
      </c>
      <c r="E79" t="s">
        <v>624</v>
      </c>
      <c r="F79" s="1">
        <v>0</v>
      </c>
    </row>
    <row r="80" spans="1:6" x14ac:dyDescent="0.3">
      <c r="A80" s="2">
        <v>43885</v>
      </c>
      <c r="B80" s="42">
        <v>0.625</v>
      </c>
      <c r="C80" t="s">
        <v>649</v>
      </c>
      <c r="D80" t="s">
        <v>602</v>
      </c>
      <c r="E80" t="s">
        <v>601</v>
      </c>
      <c r="F80" s="1">
        <v>0</v>
      </c>
    </row>
    <row r="81" spans="1:6" x14ac:dyDescent="0.3">
      <c r="A81" s="2">
        <v>43886</v>
      </c>
      <c r="B81" s="42">
        <v>0.11805555555555557</v>
      </c>
      <c r="C81" t="s">
        <v>650</v>
      </c>
      <c r="D81" t="s">
        <v>588</v>
      </c>
      <c r="E81" t="s">
        <v>618</v>
      </c>
      <c r="F81" s="1">
        <v>0</v>
      </c>
    </row>
    <row r="82" spans="1:6" x14ac:dyDescent="0.3">
      <c r="A82" s="2">
        <v>43887</v>
      </c>
      <c r="B82" s="42">
        <v>0.19097222222222221</v>
      </c>
      <c r="C82" t="s">
        <v>651</v>
      </c>
      <c r="D82" t="s">
        <v>612</v>
      </c>
      <c r="E82" t="s">
        <v>586</v>
      </c>
      <c r="F82" s="1">
        <v>0</v>
      </c>
    </row>
    <row r="83" spans="1:6" x14ac:dyDescent="0.3">
      <c r="A83" s="2">
        <v>43888</v>
      </c>
      <c r="B83" s="42">
        <v>0.38194444444444442</v>
      </c>
      <c r="C83" t="s">
        <v>650</v>
      </c>
      <c r="D83" t="s">
        <v>588</v>
      </c>
      <c r="E83" t="s">
        <v>601</v>
      </c>
      <c r="F83" s="1">
        <v>0</v>
      </c>
    </row>
    <row r="84" spans="1:6" x14ac:dyDescent="0.3">
      <c r="A84" s="2">
        <v>43888</v>
      </c>
      <c r="B84" s="42">
        <v>0.48888888888888887</v>
      </c>
      <c r="C84" t="s">
        <v>649</v>
      </c>
      <c r="D84" t="s">
        <v>602</v>
      </c>
      <c r="E84" t="s">
        <v>586</v>
      </c>
      <c r="F84" s="1">
        <v>0</v>
      </c>
    </row>
    <row r="85" spans="1:6" x14ac:dyDescent="0.3">
      <c r="A85" s="2">
        <v>43888</v>
      </c>
      <c r="B85" s="42">
        <v>0.58333333333333337</v>
      </c>
      <c r="C85" t="s">
        <v>650</v>
      </c>
      <c r="D85" t="s">
        <v>595</v>
      </c>
      <c r="E85" t="s">
        <v>623</v>
      </c>
      <c r="F85" s="1">
        <v>0</v>
      </c>
    </row>
    <row r="86" spans="1:6" x14ac:dyDescent="0.3">
      <c r="A86" s="2">
        <v>43888</v>
      </c>
      <c r="B86" s="42">
        <v>0.61111111111111105</v>
      </c>
      <c r="C86" t="s">
        <v>650</v>
      </c>
      <c r="D86" t="s">
        <v>590</v>
      </c>
      <c r="E86" t="s">
        <v>618</v>
      </c>
      <c r="F86" s="1">
        <v>0</v>
      </c>
    </row>
    <row r="87" spans="1:6" x14ac:dyDescent="0.3">
      <c r="A87" s="2">
        <v>43888</v>
      </c>
      <c r="B87" s="42">
        <v>0.64513888888888882</v>
      </c>
      <c r="C87" t="s">
        <v>650</v>
      </c>
      <c r="D87" t="s">
        <v>587</v>
      </c>
      <c r="E87" t="s">
        <v>605</v>
      </c>
      <c r="F87" s="1">
        <v>0</v>
      </c>
    </row>
    <row r="88" spans="1:6" x14ac:dyDescent="0.3">
      <c r="A88" s="2">
        <v>43890</v>
      </c>
      <c r="B88" s="42">
        <v>0.41597222222222219</v>
      </c>
      <c r="C88" t="s">
        <v>649</v>
      </c>
      <c r="D88" t="s">
        <v>590</v>
      </c>
      <c r="E88" t="s">
        <v>618</v>
      </c>
      <c r="F88" s="1">
        <v>0</v>
      </c>
    </row>
    <row r="89" spans="1:6" x14ac:dyDescent="0.3">
      <c r="A89" s="2">
        <v>43891</v>
      </c>
      <c r="B89" s="42">
        <v>0.59513888888888888</v>
      </c>
      <c r="C89" t="s">
        <v>651</v>
      </c>
      <c r="D89" t="s">
        <v>620</v>
      </c>
      <c r="E89" t="s">
        <v>618</v>
      </c>
      <c r="F89" s="1">
        <v>0</v>
      </c>
    </row>
    <row r="90" spans="1:6" x14ac:dyDescent="0.3">
      <c r="A90" s="2">
        <v>43892</v>
      </c>
      <c r="B90" s="42">
        <v>0.36249999999999999</v>
      </c>
      <c r="C90" t="s">
        <v>650</v>
      </c>
      <c r="D90" t="s">
        <v>590</v>
      </c>
      <c r="E90" t="s">
        <v>618</v>
      </c>
      <c r="F90" s="1">
        <v>0</v>
      </c>
    </row>
    <row r="91" spans="1:6" x14ac:dyDescent="0.3">
      <c r="A91" s="2">
        <v>43892</v>
      </c>
      <c r="B91" s="42">
        <v>0.36805555555555558</v>
      </c>
      <c r="C91" t="s">
        <v>649</v>
      </c>
      <c r="D91" t="s">
        <v>587</v>
      </c>
      <c r="E91" t="s">
        <v>601</v>
      </c>
      <c r="F91" s="1">
        <v>0</v>
      </c>
    </row>
    <row r="92" spans="1:6" x14ac:dyDescent="0.3">
      <c r="A92" s="2">
        <v>43892</v>
      </c>
      <c r="B92" s="42">
        <v>0.49305555555555558</v>
      </c>
      <c r="C92" t="s">
        <v>650</v>
      </c>
      <c r="D92" t="s">
        <v>587</v>
      </c>
      <c r="E92" t="s">
        <v>618</v>
      </c>
      <c r="F92" s="1">
        <v>0</v>
      </c>
    </row>
    <row r="93" spans="1:6" x14ac:dyDescent="0.3">
      <c r="A93" s="2">
        <v>43893</v>
      </c>
      <c r="B93" s="42">
        <v>0.45833333333333331</v>
      </c>
      <c r="C93" t="s">
        <v>649</v>
      </c>
      <c r="D93" t="s">
        <v>599</v>
      </c>
      <c r="E93" t="s">
        <v>618</v>
      </c>
      <c r="F93" s="1">
        <v>0</v>
      </c>
    </row>
    <row r="94" spans="1:6" x14ac:dyDescent="0.3">
      <c r="A94" s="2">
        <v>43893</v>
      </c>
      <c r="B94" s="42">
        <v>0.51111111111111118</v>
      </c>
      <c r="C94" t="s">
        <v>650</v>
      </c>
      <c r="D94" t="s">
        <v>587</v>
      </c>
      <c r="E94" t="s">
        <v>586</v>
      </c>
      <c r="F94" s="1">
        <v>0</v>
      </c>
    </row>
    <row r="95" spans="1:6" x14ac:dyDescent="0.3">
      <c r="A95" s="2">
        <v>43894</v>
      </c>
      <c r="B95" s="42">
        <v>0.52708333333333335</v>
      </c>
      <c r="C95" t="s">
        <v>652</v>
      </c>
      <c r="D95" t="s">
        <v>587</v>
      </c>
      <c r="E95" t="s">
        <v>586</v>
      </c>
      <c r="F95" s="1">
        <v>0</v>
      </c>
    </row>
    <row r="96" spans="1:6" x14ac:dyDescent="0.3">
      <c r="A96" s="2">
        <v>43894</v>
      </c>
      <c r="B96" s="42">
        <v>0.79166666666666663</v>
      </c>
      <c r="C96" t="s">
        <v>649</v>
      </c>
      <c r="D96" t="s">
        <v>600</v>
      </c>
      <c r="E96" t="s">
        <v>586</v>
      </c>
      <c r="F96" s="1">
        <v>0</v>
      </c>
    </row>
    <row r="97" spans="1:6" x14ac:dyDescent="0.3">
      <c r="A97" s="2">
        <v>43895</v>
      </c>
      <c r="B97" s="42">
        <v>0.70138888888888884</v>
      </c>
      <c r="C97" t="s">
        <v>649</v>
      </c>
      <c r="D97" t="s">
        <v>587</v>
      </c>
      <c r="E97" t="s">
        <v>622</v>
      </c>
      <c r="F97" s="1">
        <v>0</v>
      </c>
    </row>
    <row r="98" spans="1:6" x14ac:dyDescent="0.3">
      <c r="A98" s="2">
        <v>43896</v>
      </c>
      <c r="B98" s="42">
        <v>0.19791666666666666</v>
      </c>
      <c r="C98" t="s">
        <v>649</v>
      </c>
      <c r="D98" t="s">
        <v>590</v>
      </c>
      <c r="E98" t="s">
        <v>605</v>
      </c>
      <c r="F98" s="1">
        <v>0</v>
      </c>
    </row>
    <row r="99" spans="1:6" x14ac:dyDescent="0.3">
      <c r="A99" s="2">
        <v>43896</v>
      </c>
      <c r="B99" s="42">
        <v>0.2986111111111111</v>
      </c>
      <c r="C99" t="s">
        <v>649</v>
      </c>
      <c r="D99" t="s">
        <v>587</v>
      </c>
      <c r="E99" t="s">
        <v>605</v>
      </c>
      <c r="F99" s="1">
        <v>0</v>
      </c>
    </row>
    <row r="100" spans="1:6" x14ac:dyDescent="0.3">
      <c r="A100" s="2">
        <v>43896</v>
      </c>
      <c r="B100" s="42">
        <v>0.55625000000000002</v>
      </c>
      <c r="C100" t="s">
        <v>650</v>
      </c>
      <c r="D100" t="s">
        <v>611</v>
      </c>
      <c r="E100" t="s">
        <v>622</v>
      </c>
      <c r="F100" s="1">
        <v>0</v>
      </c>
    </row>
    <row r="101" spans="1:6" x14ac:dyDescent="0.3">
      <c r="A101" s="2">
        <v>43896</v>
      </c>
      <c r="B101" s="42">
        <v>0.70138888888888884</v>
      </c>
      <c r="C101" t="s">
        <v>650</v>
      </c>
      <c r="D101" t="s">
        <v>587</v>
      </c>
      <c r="E101" t="s">
        <v>618</v>
      </c>
      <c r="F101" s="1">
        <v>0</v>
      </c>
    </row>
    <row r="102" spans="1:6" x14ac:dyDescent="0.3">
      <c r="A102" s="2">
        <v>43897</v>
      </c>
      <c r="B102" s="42">
        <v>0.4993055555555555</v>
      </c>
      <c r="C102" t="s">
        <v>651</v>
      </c>
      <c r="D102" t="s">
        <v>611</v>
      </c>
      <c r="E102" t="s">
        <v>586</v>
      </c>
      <c r="F102" s="1">
        <v>0</v>
      </c>
    </row>
    <row r="103" spans="1:6" x14ac:dyDescent="0.3">
      <c r="A103" s="2">
        <v>43898</v>
      </c>
      <c r="B103" s="42">
        <v>0.15972222222222224</v>
      </c>
      <c r="C103" t="s">
        <v>650</v>
      </c>
      <c r="D103" t="s">
        <v>590</v>
      </c>
      <c r="E103" t="s">
        <v>618</v>
      </c>
      <c r="F103" s="1">
        <v>0</v>
      </c>
    </row>
    <row r="104" spans="1:6" x14ac:dyDescent="0.3">
      <c r="A104" s="2">
        <v>43898</v>
      </c>
      <c r="B104" s="42">
        <v>0.5</v>
      </c>
      <c r="C104" t="s">
        <v>649</v>
      </c>
      <c r="D104" t="s">
        <v>590</v>
      </c>
      <c r="E104" t="s">
        <v>618</v>
      </c>
      <c r="F104" s="1">
        <v>0</v>
      </c>
    </row>
    <row r="105" spans="1:6" x14ac:dyDescent="0.3">
      <c r="A105" s="2">
        <v>43899</v>
      </c>
      <c r="B105" s="42">
        <v>0.44791666666666669</v>
      </c>
      <c r="C105" t="s">
        <v>650</v>
      </c>
      <c r="D105" t="s">
        <v>587</v>
      </c>
      <c r="E105" t="s">
        <v>618</v>
      </c>
      <c r="F105" s="1">
        <v>0</v>
      </c>
    </row>
    <row r="106" spans="1:6" x14ac:dyDescent="0.3">
      <c r="A106" s="2">
        <v>43899</v>
      </c>
      <c r="B106" s="42">
        <v>0.57291666666666663</v>
      </c>
      <c r="C106" t="s">
        <v>652</v>
      </c>
      <c r="D106" t="s">
        <v>592</v>
      </c>
      <c r="E106" t="s">
        <v>586</v>
      </c>
      <c r="F106" s="1">
        <v>0</v>
      </c>
    </row>
    <row r="107" spans="1:6" x14ac:dyDescent="0.3">
      <c r="A107" s="2">
        <v>43899</v>
      </c>
      <c r="B107" s="42">
        <v>0.65555555555555556</v>
      </c>
      <c r="C107" t="s">
        <v>650</v>
      </c>
      <c r="D107" t="s">
        <v>613</v>
      </c>
      <c r="E107" t="s">
        <v>586</v>
      </c>
      <c r="F107" s="1">
        <v>0</v>
      </c>
    </row>
    <row r="108" spans="1:6" x14ac:dyDescent="0.3">
      <c r="A108" s="2">
        <v>43900</v>
      </c>
      <c r="B108" s="42">
        <v>0.25555555555555559</v>
      </c>
      <c r="C108" t="s">
        <v>651</v>
      </c>
      <c r="D108" t="s">
        <v>602</v>
      </c>
      <c r="E108" t="s">
        <v>605</v>
      </c>
      <c r="F108" s="1">
        <v>0</v>
      </c>
    </row>
    <row r="109" spans="1:6" x14ac:dyDescent="0.3">
      <c r="A109" s="2">
        <v>43902</v>
      </c>
      <c r="B109" s="42">
        <v>0.39583333333333331</v>
      </c>
      <c r="C109" t="s">
        <v>649</v>
      </c>
      <c r="D109" t="s">
        <v>590</v>
      </c>
      <c r="E109" t="s">
        <v>618</v>
      </c>
      <c r="F109" s="1">
        <v>0</v>
      </c>
    </row>
    <row r="110" spans="1:6" x14ac:dyDescent="0.3">
      <c r="A110" s="2">
        <v>43902</v>
      </c>
      <c r="B110" s="42">
        <v>0.57291666666666663</v>
      </c>
      <c r="C110" t="s">
        <v>649</v>
      </c>
      <c r="D110" t="s">
        <v>588</v>
      </c>
      <c r="E110" t="s">
        <v>598</v>
      </c>
      <c r="F110" s="1">
        <v>0</v>
      </c>
    </row>
    <row r="111" spans="1:6" x14ac:dyDescent="0.3">
      <c r="A111" s="2">
        <v>43902</v>
      </c>
      <c r="B111" s="42">
        <v>0.94791666666666663</v>
      </c>
      <c r="C111" t="s">
        <v>650</v>
      </c>
      <c r="D111" t="s">
        <v>587</v>
      </c>
      <c r="E111" t="s">
        <v>586</v>
      </c>
      <c r="F111" s="1">
        <v>1</v>
      </c>
    </row>
    <row r="112" spans="1:6" x14ac:dyDescent="0.3">
      <c r="A112" s="2">
        <v>43904</v>
      </c>
      <c r="B112" s="42">
        <v>0.21875</v>
      </c>
      <c r="C112" t="s">
        <v>649</v>
      </c>
      <c r="D112" t="s">
        <v>609</v>
      </c>
      <c r="E112" t="s">
        <v>608</v>
      </c>
      <c r="F112" s="1">
        <v>0</v>
      </c>
    </row>
    <row r="113" spans="1:6" x14ac:dyDescent="0.3">
      <c r="A113" s="2">
        <v>43904</v>
      </c>
      <c r="B113" s="42">
        <v>0.33749999999999997</v>
      </c>
      <c r="C113" t="s">
        <v>649</v>
      </c>
      <c r="D113" t="s">
        <v>602</v>
      </c>
      <c r="E113" t="s">
        <v>622</v>
      </c>
      <c r="F113" s="1">
        <v>0</v>
      </c>
    </row>
    <row r="114" spans="1:6" x14ac:dyDescent="0.3">
      <c r="A114" s="2">
        <v>43908</v>
      </c>
      <c r="B114" s="42">
        <v>0.43055555555555558</v>
      </c>
      <c r="C114" t="s">
        <v>652</v>
      </c>
      <c r="D114" t="s">
        <v>587</v>
      </c>
      <c r="E114" t="s">
        <v>624</v>
      </c>
      <c r="F114" s="1">
        <v>0</v>
      </c>
    </row>
    <row r="115" spans="1:6" x14ac:dyDescent="0.3">
      <c r="A115" s="2">
        <v>43908</v>
      </c>
      <c r="B115" s="42">
        <v>0.52083333333333337</v>
      </c>
      <c r="C115" t="s">
        <v>650</v>
      </c>
      <c r="D115" t="s">
        <v>599</v>
      </c>
      <c r="E115" t="s">
        <v>601</v>
      </c>
      <c r="F115" s="1">
        <v>0</v>
      </c>
    </row>
    <row r="116" spans="1:6" x14ac:dyDescent="0.3">
      <c r="A116" s="2">
        <v>43908</v>
      </c>
      <c r="B116" s="42">
        <v>0.57291666666666663</v>
      </c>
      <c r="C116" t="s">
        <v>652</v>
      </c>
      <c r="D116" t="s">
        <v>590</v>
      </c>
      <c r="E116" t="s">
        <v>586</v>
      </c>
      <c r="F116" s="1">
        <v>0</v>
      </c>
    </row>
    <row r="117" spans="1:6" x14ac:dyDescent="0.3">
      <c r="A117" s="2">
        <v>43908</v>
      </c>
      <c r="B117" s="42">
        <v>0.66111111111111109</v>
      </c>
      <c r="C117" t="s">
        <v>652</v>
      </c>
      <c r="D117" t="s">
        <v>594</v>
      </c>
      <c r="E117" t="s">
        <v>586</v>
      </c>
      <c r="F117" s="1">
        <v>0</v>
      </c>
    </row>
    <row r="118" spans="1:6" x14ac:dyDescent="0.3">
      <c r="A118" s="2">
        <v>43909</v>
      </c>
      <c r="B118" s="42">
        <v>0.55555555555555558</v>
      </c>
      <c r="C118" t="s">
        <v>649</v>
      </c>
      <c r="D118" t="s">
        <v>587</v>
      </c>
      <c r="E118" t="s">
        <v>605</v>
      </c>
      <c r="F118" s="1">
        <v>0</v>
      </c>
    </row>
    <row r="119" spans="1:6" x14ac:dyDescent="0.3">
      <c r="A119" s="2">
        <v>43909</v>
      </c>
      <c r="B119" s="42">
        <v>0.74930555555555556</v>
      </c>
      <c r="C119" t="s">
        <v>651</v>
      </c>
      <c r="D119" t="s">
        <v>587</v>
      </c>
      <c r="E119" t="s">
        <v>598</v>
      </c>
      <c r="F119" s="1">
        <v>0</v>
      </c>
    </row>
    <row r="120" spans="1:6" x14ac:dyDescent="0.3">
      <c r="A120" s="2">
        <v>43910</v>
      </c>
      <c r="B120" s="42">
        <v>0.83333333333333337</v>
      </c>
      <c r="C120" t="s">
        <v>651</v>
      </c>
      <c r="D120" t="s">
        <v>590</v>
      </c>
      <c r="E120" t="s">
        <v>586</v>
      </c>
      <c r="F120" s="1">
        <v>0</v>
      </c>
    </row>
    <row r="121" spans="1:6" x14ac:dyDescent="0.3">
      <c r="A121" s="2">
        <v>43914</v>
      </c>
      <c r="B121" s="42">
        <v>0.60763888888888895</v>
      </c>
      <c r="C121" t="s">
        <v>652</v>
      </c>
      <c r="D121" t="s">
        <v>590</v>
      </c>
      <c r="E121" t="s">
        <v>618</v>
      </c>
      <c r="F121" s="1">
        <v>0</v>
      </c>
    </row>
    <row r="122" spans="1:6" x14ac:dyDescent="0.3">
      <c r="A122" s="2">
        <v>43915</v>
      </c>
      <c r="B122" s="42">
        <v>0.8041666666666667</v>
      </c>
      <c r="C122" t="s">
        <v>650</v>
      </c>
      <c r="D122" t="s">
        <v>587</v>
      </c>
      <c r="E122" t="s">
        <v>608</v>
      </c>
      <c r="F122" s="1">
        <v>0</v>
      </c>
    </row>
    <row r="123" spans="1:6" x14ac:dyDescent="0.3">
      <c r="A123" s="2">
        <v>43915</v>
      </c>
      <c r="B123" s="42">
        <v>0.8569444444444444</v>
      </c>
      <c r="C123" t="s">
        <v>651</v>
      </c>
      <c r="D123" t="s">
        <v>602</v>
      </c>
      <c r="E123" t="s">
        <v>586</v>
      </c>
      <c r="F123" s="1">
        <v>0</v>
      </c>
    </row>
    <row r="124" spans="1:6" x14ac:dyDescent="0.3">
      <c r="A124" s="2">
        <v>43916</v>
      </c>
      <c r="B124" s="42">
        <v>0.47916666666666669</v>
      </c>
      <c r="C124" t="s">
        <v>649</v>
      </c>
      <c r="D124" t="s">
        <v>588</v>
      </c>
      <c r="E124" t="s">
        <v>618</v>
      </c>
      <c r="F124" s="1">
        <v>0</v>
      </c>
    </row>
    <row r="125" spans="1:6" x14ac:dyDescent="0.3">
      <c r="A125" s="2">
        <v>43916</v>
      </c>
      <c r="B125" s="42">
        <v>0.50347222222222221</v>
      </c>
      <c r="C125" t="s">
        <v>652</v>
      </c>
      <c r="D125" t="s">
        <v>587</v>
      </c>
      <c r="E125" t="s">
        <v>586</v>
      </c>
      <c r="F125" s="1">
        <v>0</v>
      </c>
    </row>
    <row r="126" spans="1:6" x14ac:dyDescent="0.3">
      <c r="A126" s="2">
        <v>43922</v>
      </c>
      <c r="B126" s="42">
        <v>0.56736111111111109</v>
      </c>
      <c r="C126" t="s">
        <v>650</v>
      </c>
      <c r="D126" t="s">
        <v>587</v>
      </c>
      <c r="E126" t="s">
        <v>586</v>
      </c>
      <c r="F126" s="1">
        <v>0</v>
      </c>
    </row>
    <row r="127" spans="1:6" x14ac:dyDescent="0.3">
      <c r="A127" s="2">
        <v>43924</v>
      </c>
      <c r="B127" s="42">
        <v>0.43194444444444446</v>
      </c>
      <c r="C127" t="s">
        <v>652</v>
      </c>
      <c r="D127" t="s">
        <v>606</v>
      </c>
      <c r="E127" t="s">
        <v>618</v>
      </c>
      <c r="F127" s="1">
        <v>0</v>
      </c>
    </row>
    <row r="128" spans="1:6" x14ac:dyDescent="0.3">
      <c r="A128" s="2">
        <v>43931</v>
      </c>
      <c r="B128" s="42">
        <v>0.63888888888888895</v>
      </c>
      <c r="C128" t="s">
        <v>650</v>
      </c>
      <c r="D128" t="s">
        <v>590</v>
      </c>
      <c r="E128" t="s">
        <v>586</v>
      </c>
      <c r="F128" s="1">
        <v>2</v>
      </c>
    </row>
    <row r="129" spans="1:6" x14ac:dyDescent="0.3">
      <c r="A129" s="2">
        <v>43944</v>
      </c>
      <c r="B129" s="42">
        <v>0.64583333333333337</v>
      </c>
      <c r="C129" t="s">
        <v>652</v>
      </c>
      <c r="D129" t="s">
        <v>590</v>
      </c>
      <c r="E129" t="s">
        <v>598</v>
      </c>
      <c r="F129" s="1">
        <v>0</v>
      </c>
    </row>
    <row r="130" spans="1:6" x14ac:dyDescent="0.3">
      <c r="A130" s="2">
        <v>43945</v>
      </c>
      <c r="B130" s="42">
        <v>0.85902777777777783</v>
      </c>
      <c r="C130" t="s">
        <v>651</v>
      </c>
      <c r="D130" t="s">
        <v>587</v>
      </c>
      <c r="E130" t="s">
        <v>622</v>
      </c>
      <c r="F130" s="1">
        <v>0</v>
      </c>
    </row>
    <row r="131" spans="1:6" x14ac:dyDescent="0.3">
      <c r="A131" s="2">
        <v>43950</v>
      </c>
      <c r="B131" s="42">
        <v>0.5</v>
      </c>
      <c r="C131" t="s">
        <v>651</v>
      </c>
      <c r="D131" t="s">
        <v>585</v>
      </c>
      <c r="E131" t="s">
        <v>586</v>
      </c>
      <c r="F131" s="1">
        <v>0</v>
      </c>
    </row>
    <row r="132" spans="1:6" x14ac:dyDescent="0.3">
      <c r="A132" s="2">
        <v>43951</v>
      </c>
      <c r="B132" s="42">
        <v>0.17708333333333334</v>
      </c>
      <c r="C132" t="s">
        <v>651</v>
      </c>
      <c r="D132" t="s">
        <v>587</v>
      </c>
      <c r="E132" t="s">
        <v>618</v>
      </c>
      <c r="F132" s="1">
        <v>0</v>
      </c>
    </row>
    <row r="133" spans="1:6" x14ac:dyDescent="0.3">
      <c r="A133" s="2">
        <v>43951</v>
      </c>
      <c r="B133" s="42">
        <v>0.24305555555555555</v>
      </c>
      <c r="C133" t="s">
        <v>651</v>
      </c>
      <c r="D133" t="s">
        <v>587</v>
      </c>
      <c r="E133" t="s">
        <v>624</v>
      </c>
      <c r="F133" s="1">
        <v>0</v>
      </c>
    </row>
    <row r="134" spans="1:6" x14ac:dyDescent="0.3">
      <c r="A134" s="2">
        <v>43953</v>
      </c>
      <c r="B134" s="42">
        <v>0.4861111111111111</v>
      </c>
      <c r="C134" t="s">
        <v>651</v>
      </c>
      <c r="D134" t="s">
        <v>594</v>
      </c>
      <c r="E134" t="s">
        <v>591</v>
      </c>
      <c r="F134" s="1">
        <v>1</v>
      </c>
    </row>
    <row r="135" spans="1:6" x14ac:dyDescent="0.3">
      <c r="A135" s="2">
        <v>43954</v>
      </c>
      <c r="B135" s="42">
        <v>0.48958333333333331</v>
      </c>
      <c r="C135" t="s">
        <v>649</v>
      </c>
      <c r="D135" t="s">
        <v>599</v>
      </c>
      <c r="E135" t="s">
        <v>624</v>
      </c>
      <c r="F135" s="1">
        <v>0</v>
      </c>
    </row>
    <row r="136" spans="1:6" x14ac:dyDescent="0.3">
      <c r="A136" s="2">
        <v>43954</v>
      </c>
      <c r="B136" s="42">
        <v>0.55208333333333337</v>
      </c>
      <c r="C136" t="s">
        <v>652</v>
      </c>
      <c r="D136" t="s">
        <v>599</v>
      </c>
      <c r="E136" t="s">
        <v>586</v>
      </c>
      <c r="F136" s="1">
        <v>0</v>
      </c>
    </row>
    <row r="137" spans="1:6" x14ac:dyDescent="0.3">
      <c r="A137" s="2">
        <v>43954</v>
      </c>
      <c r="B137" s="42">
        <v>0.83680555555555547</v>
      </c>
      <c r="C137" t="s">
        <v>650</v>
      </c>
      <c r="D137" t="s">
        <v>599</v>
      </c>
      <c r="E137" t="s">
        <v>586</v>
      </c>
      <c r="F137" s="1">
        <v>0</v>
      </c>
    </row>
    <row r="138" spans="1:6" x14ac:dyDescent="0.3">
      <c r="A138" s="2">
        <v>43961</v>
      </c>
      <c r="B138" s="42">
        <v>0.76527777777777783</v>
      </c>
      <c r="C138" t="s">
        <v>652</v>
      </c>
      <c r="D138" t="s">
        <v>590</v>
      </c>
      <c r="E138" t="s">
        <v>586</v>
      </c>
      <c r="F138" s="1">
        <v>0</v>
      </c>
    </row>
    <row r="139" spans="1:6" x14ac:dyDescent="0.3">
      <c r="A139" s="2">
        <v>43962</v>
      </c>
      <c r="B139" s="42">
        <v>0.39583333333333331</v>
      </c>
      <c r="C139" t="s">
        <v>652</v>
      </c>
      <c r="D139" t="s">
        <v>590</v>
      </c>
      <c r="E139" t="s">
        <v>618</v>
      </c>
      <c r="F139" s="1">
        <v>0</v>
      </c>
    </row>
    <row r="140" spans="1:6" x14ac:dyDescent="0.3">
      <c r="A140" s="2">
        <v>43962</v>
      </c>
      <c r="B140" s="42">
        <v>0.50208333333333333</v>
      </c>
      <c r="C140" t="s">
        <v>649</v>
      </c>
      <c r="D140" t="s">
        <v>587</v>
      </c>
      <c r="E140" t="s">
        <v>603</v>
      </c>
      <c r="F140" s="1">
        <v>0</v>
      </c>
    </row>
    <row r="141" spans="1:6" x14ac:dyDescent="0.3">
      <c r="A141" s="2">
        <v>43963</v>
      </c>
      <c r="B141" s="42">
        <v>0.38194444444444442</v>
      </c>
      <c r="C141" t="s">
        <v>649</v>
      </c>
      <c r="D141" t="s">
        <v>587</v>
      </c>
      <c r="E141" t="s">
        <v>591</v>
      </c>
      <c r="F141" s="1">
        <v>0</v>
      </c>
    </row>
    <row r="142" spans="1:6" x14ac:dyDescent="0.3">
      <c r="A142" s="2">
        <v>43965</v>
      </c>
      <c r="B142" s="42">
        <v>0.41666666666666669</v>
      </c>
      <c r="C142" t="s">
        <v>650</v>
      </c>
      <c r="D142" t="s">
        <v>587</v>
      </c>
      <c r="E142" t="s">
        <v>586</v>
      </c>
      <c r="F142" s="1">
        <v>0</v>
      </c>
    </row>
    <row r="143" spans="1:6" x14ac:dyDescent="0.3">
      <c r="A143" s="2">
        <v>43968</v>
      </c>
      <c r="B143" s="42">
        <v>0.91319444444444453</v>
      </c>
      <c r="C143" t="s">
        <v>650</v>
      </c>
      <c r="D143" t="s">
        <v>587</v>
      </c>
      <c r="E143" t="s">
        <v>618</v>
      </c>
      <c r="F143" s="1">
        <v>0</v>
      </c>
    </row>
    <row r="144" spans="1:6" x14ac:dyDescent="0.3">
      <c r="A144" s="2">
        <v>43969</v>
      </c>
      <c r="B144" s="42">
        <v>0.45833333333333331</v>
      </c>
      <c r="C144" t="s">
        <v>650</v>
      </c>
      <c r="D144" t="s">
        <v>609</v>
      </c>
      <c r="E144" t="s">
        <v>586</v>
      </c>
      <c r="F144" s="1">
        <v>0</v>
      </c>
    </row>
    <row r="145" spans="1:6" x14ac:dyDescent="0.3">
      <c r="A145" s="2">
        <v>43971</v>
      </c>
      <c r="B145" s="42">
        <v>0.12986111111111112</v>
      </c>
      <c r="C145" t="s">
        <v>652</v>
      </c>
      <c r="D145" t="s">
        <v>614</v>
      </c>
      <c r="E145" t="s">
        <v>586</v>
      </c>
      <c r="F145" s="1">
        <v>0</v>
      </c>
    </row>
    <row r="146" spans="1:6" x14ac:dyDescent="0.3">
      <c r="A146" s="2">
        <v>43971</v>
      </c>
      <c r="B146" s="42">
        <v>0.13194444444444445</v>
      </c>
      <c r="C146" t="s">
        <v>650</v>
      </c>
      <c r="D146" t="s">
        <v>585</v>
      </c>
      <c r="E146" t="s">
        <v>586</v>
      </c>
      <c r="F146" s="1">
        <v>0</v>
      </c>
    </row>
    <row r="147" spans="1:6" x14ac:dyDescent="0.3">
      <c r="A147" s="2">
        <v>43977</v>
      </c>
      <c r="B147" s="42">
        <v>0.43541666666666662</v>
      </c>
      <c r="C147" t="s">
        <v>650</v>
      </c>
      <c r="D147" t="s">
        <v>606</v>
      </c>
      <c r="E147" t="s">
        <v>618</v>
      </c>
      <c r="F147" s="1">
        <v>0</v>
      </c>
    </row>
    <row r="148" spans="1:6" x14ac:dyDescent="0.3">
      <c r="A148" s="2">
        <v>43977</v>
      </c>
      <c r="B148" s="42">
        <v>0.4375</v>
      </c>
      <c r="C148" t="s">
        <v>651</v>
      </c>
      <c r="D148" t="s">
        <v>606</v>
      </c>
      <c r="E148" t="s">
        <v>618</v>
      </c>
      <c r="F148" s="1">
        <v>0</v>
      </c>
    </row>
    <row r="149" spans="1:6" x14ac:dyDescent="0.3">
      <c r="A149" s="2">
        <v>43979</v>
      </c>
      <c r="B149" s="42">
        <v>0.69791666666666663</v>
      </c>
      <c r="C149" t="s">
        <v>650</v>
      </c>
      <c r="D149" t="s">
        <v>590</v>
      </c>
      <c r="E149" t="s">
        <v>624</v>
      </c>
      <c r="F149" s="1">
        <v>0</v>
      </c>
    </row>
    <row r="150" spans="1:6" x14ac:dyDescent="0.3">
      <c r="A150" s="2">
        <v>43984</v>
      </c>
      <c r="B150" s="42">
        <v>0.45833333333333331</v>
      </c>
      <c r="C150" t="s">
        <v>649</v>
      </c>
      <c r="D150" t="s">
        <v>587</v>
      </c>
      <c r="E150" t="s">
        <v>586</v>
      </c>
      <c r="F150" s="1">
        <v>0</v>
      </c>
    </row>
    <row r="151" spans="1:6" x14ac:dyDescent="0.3">
      <c r="A151" s="2">
        <v>43984</v>
      </c>
      <c r="B151" s="42">
        <v>0.75</v>
      </c>
      <c r="C151" t="s">
        <v>650</v>
      </c>
      <c r="D151" t="s">
        <v>590</v>
      </c>
      <c r="E151" t="s">
        <v>591</v>
      </c>
      <c r="F151" s="1">
        <v>0</v>
      </c>
    </row>
    <row r="152" spans="1:6" x14ac:dyDescent="0.3">
      <c r="A152" s="2">
        <v>43985</v>
      </c>
      <c r="B152" s="42">
        <v>0.625</v>
      </c>
      <c r="C152" t="s">
        <v>650</v>
      </c>
      <c r="D152" t="s">
        <v>611</v>
      </c>
      <c r="E152" t="s">
        <v>586</v>
      </c>
      <c r="F152" s="1">
        <v>0</v>
      </c>
    </row>
    <row r="153" spans="1:6" x14ac:dyDescent="0.3">
      <c r="A153" s="2">
        <v>43986</v>
      </c>
      <c r="B153" s="42">
        <v>0.5</v>
      </c>
      <c r="C153" t="s">
        <v>652</v>
      </c>
      <c r="D153" t="s">
        <v>599</v>
      </c>
      <c r="E153" t="s">
        <v>586</v>
      </c>
      <c r="F153" s="1">
        <v>0</v>
      </c>
    </row>
    <row r="154" spans="1:6" x14ac:dyDescent="0.3">
      <c r="A154" s="2">
        <v>43987</v>
      </c>
      <c r="B154" s="42">
        <v>0.33194444444444443</v>
      </c>
      <c r="C154" t="s">
        <v>652</v>
      </c>
      <c r="D154" t="s">
        <v>588</v>
      </c>
      <c r="E154" t="s">
        <v>586</v>
      </c>
      <c r="F154" s="1">
        <v>0</v>
      </c>
    </row>
    <row r="155" spans="1:6" x14ac:dyDescent="0.3">
      <c r="A155" s="2">
        <v>43987</v>
      </c>
      <c r="B155" s="42">
        <v>0.55902777777777779</v>
      </c>
      <c r="C155" t="s">
        <v>652</v>
      </c>
      <c r="D155" t="s">
        <v>588</v>
      </c>
      <c r="E155" t="s">
        <v>598</v>
      </c>
      <c r="F155" s="1">
        <v>0</v>
      </c>
    </row>
    <row r="156" spans="1:6" x14ac:dyDescent="0.3">
      <c r="A156" s="2">
        <v>43991</v>
      </c>
      <c r="B156" s="42">
        <v>0.5</v>
      </c>
      <c r="C156" t="s">
        <v>652</v>
      </c>
      <c r="D156" t="s">
        <v>588</v>
      </c>
      <c r="E156" t="s">
        <v>586</v>
      </c>
      <c r="F156" s="1">
        <v>0</v>
      </c>
    </row>
    <row r="157" spans="1:6" x14ac:dyDescent="0.3">
      <c r="A157" s="2">
        <v>43991</v>
      </c>
      <c r="B157" s="42">
        <v>0.61041666666666672</v>
      </c>
      <c r="C157" t="s">
        <v>651</v>
      </c>
      <c r="D157" t="s">
        <v>592</v>
      </c>
      <c r="E157" t="s">
        <v>618</v>
      </c>
      <c r="F157" s="1">
        <v>0</v>
      </c>
    </row>
    <row r="158" spans="1:6" x14ac:dyDescent="0.3">
      <c r="A158" s="2">
        <v>43991</v>
      </c>
      <c r="B158" s="42">
        <v>0.82291666666666663</v>
      </c>
      <c r="C158" t="s">
        <v>650</v>
      </c>
      <c r="D158" t="s">
        <v>587</v>
      </c>
      <c r="E158" t="s">
        <v>586</v>
      </c>
      <c r="F158" s="1">
        <v>1</v>
      </c>
    </row>
    <row r="159" spans="1:6" x14ac:dyDescent="0.3">
      <c r="A159" s="2">
        <v>43993</v>
      </c>
      <c r="B159" s="42">
        <v>0.42152777777777778</v>
      </c>
      <c r="C159" t="s">
        <v>651</v>
      </c>
      <c r="D159" t="s">
        <v>587</v>
      </c>
      <c r="E159" t="s">
        <v>586</v>
      </c>
      <c r="F159" s="1">
        <v>0</v>
      </c>
    </row>
    <row r="160" spans="1:6" x14ac:dyDescent="0.3">
      <c r="A160" s="2">
        <v>43993</v>
      </c>
      <c r="B160" s="42">
        <v>0.54861111111111105</v>
      </c>
      <c r="C160" t="s">
        <v>650</v>
      </c>
      <c r="D160" t="s">
        <v>604</v>
      </c>
      <c r="E160" t="s">
        <v>605</v>
      </c>
      <c r="F160" s="1">
        <v>0</v>
      </c>
    </row>
    <row r="161" spans="1:6" x14ac:dyDescent="0.3">
      <c r="A161" s="2">
        <v>43994</v>
      </c>
      <c r="B161" s="42">
        <v>0.39374999999999999</v>
      </c>
      <c r="C161" t="s">
        <v>651</v>
      </c>
      <c r="D161" t="s">
        <v>615</v>
      </c>
      <c r="E161" t="s">
        <v>586</v>
      </c>
      <c r="F161" s="1">
        <v>0</v>
      </c>
    </row>
    <row r="162" spans="1:6" x14ac:dyDescent="0.3">
      <c r="A162" s="2">
        <v>43994</v>
      </c>
      <c r="B162" s="42">
        <v>0.54027777777777775</v>
      </c>
      <c r="C162" t="s">
        <v>649</v>
      </c>
      <c r="D162" t="s">
        <v>587</v>
      </c>
      <c r="E162" t="s">
        <v>586</v>
      </c>
      <c r="F162" s="1">
        <v>1</v>
      </c>
    </row>
    <row r="163" spans="1:6" x14ac:dyDescent="0.3">
      <c r="A163" s="2">
        <v>43998</v>
      </c>
      <c r="B163" s="42">
        <v>0.44444444444444442</v>
      </c>
      <c r="C163" t="s">
        <v>652</v>
      </c>
      <c r="D163" t="s">
        <v>590</v>
      </c>
      <c r="E163" t="s">
        <v>618</v>
      </c>
      <c r="F163" s="1">
        <v>4</v>
      </c>
    </row>
    <row r="164" spans="1:6" x14ac:dyDescent="0.3">
      <c r="A164" s="2">
        <v>43999</v>
      </c>
      <c r="B164" s="42">
        <v>0.66666666666666663</v>
      </c>
      <c r="C164" t="s">
        <v>650</v>
      </c>
      <c r="D164" t="s">
        <v>587</v>
      </c>
      <c r="E164" t="s">
        <v>608</v>
      </c>
      <c r="F164" s="1">
        <v>1</v>
      </c>
    </row>
    <row r="165" spans="1:6" x14ac:dyDescent="0.3">
      <c r="A165" s="2">
        <v>44002</v>
      </c>
      <c r="B165" s="42">
        <v>0.59027777777777779</v>
      </c>
      <c r="C165" t="s">
        <v>652</v>
      </c>
      <c r="D165" t="s">
        <v>616</v>
      </c>
      <c r="E165" t="s">
        <v>586</v>
      </c>
      <c r="F165" s="1">
        <v>0</v>
      </c>
    </row>
    <row r="166" spans="1:6" x14ac:dyDescent="0.3">
      <c r="A166" s="2">
        <v>44002</v>
      </c>
      <c r="B166" s="42">
        <v>0.72986111111111107</v>
      </c>
      <c r="C166" t="s">
        <v>650</v>
      </c>
      <c r="D166" t="s">
        <v>590</v>
      </c>
      <c r="E166" t="s">
        <v>586</v>
      </c>
      <c r="F166" s="1">
        <v>0</v>
      </c>
    </row>
    <row r="167" spans="1:6" x14ac:dyDescent="0.3">
      <c r="A167" s="2">
        <v>44004</v>
      </c>
      <c r="B167" s="42">
        <v>0.51736111111111105</v>
      </c>
      <c r="C167" t="s">
        <v>650</v>
      </c>
      <c r="D167" t="s">
        <v>587</v>
      </c>
      <c r="E167" t="s">
        <v>623</v>
      </c>
      <c r="F167" s="1">
        <v>0</v>
      </c>
    </row>
    <row r="168" spans="1:6" x14ac:dyDescent="0.3">
      <c r="A168" s="2">
        <v>44005</v>
      </c>
      <c r="B168" s="42">
        <v>0.56527777777777777</v>
      </c>
      <c r="C168" t="s">
        <v>651</v>
      </c>
      <c r="D168" t="s">
        <v>617</v>
      </c>
      <c r="E168" t="s">
        <v>586</v>
      </c>
      <c r="F168" s="1">
        <v>0</v>
      </c>
    </row>
    <row r="169" spans="1:6" x14ac:dyDescent="0.3">
      <c r="A169" s="2">
        <v>44005</v>
      </c>
      <c r="B169" s="42">
        <v>0.72777777777777775</v>
      </c>
      <c r="C169" t="s">
        <v>652</v>
      </c>
      <c r="D169" t="s">
        <v>602</v>
      </c>
      <c r="E169" t="s">
        <v>586</v>
      </c>
      <c r="F169" s="1">
        <v>0</v>
      </c>
    </row>
    <row r="170" spans="1:6" x14ac:dyDescent="0.3">
      <c r="A170" s="2">
        <v>44005</v>
      </c>
      <c r="B170" s="42">
        <v>0.75624999999999998</v>
      </c>
      <c r="C170" t="s">
        <v>650</v>
      </c>
      <c r="D170" t="s">
        <v>590</v>
      </c>
      <c r="E170" t="s">
        <v>622</v>
      </c>
      <c r="F170" s="1">
        <v>1</v>
      </c>
    </row>
    <row r="171" spans="1:6" x14ac:dyDescent="0.3">
      <c r="A171" s="2">
        <v>44008</v>
      </c>
      <c r="B171" s="42">
        <v>0.61111111111111105</v>
      </c>
      <c r="C171" t="s">
        <v>650</v>
      </c>
      <c r="D171" t="s">
        <v>606</v>
      </c>
      <c r="E171" t="s">
        <v>586</v>
      </c>
      <c r="F171" s="1">
        <v>0</v>
      </c>
    </row>
    <row r="172" spans="1:6" x14ac:dyDescent="0.3">
      <c r="A172" s="2">
        <v>44010</v>
      </c>
      <c r="B172" s="42">
        <v>0.4375</v>
      </c>
      <c r="C172" t="s">
        <v>650</v>
      </c>
      <c r="D172" t="s">
        <v>621</v>
      </c>
      <c r="E172" t="s">
        <v>618</v>
      </c>
      <c r="F172" s="1">
        <v>0</v>
      </c>
    </row>
    <row r="173" spans="1:6" x14ac:dyDescent="0.3">
      <c r="A173" s="2">
        <v>44011</v>
      </c>
      <c r="B173" s="42">
        <v>0.61875000000000002</v>
      </c>
      <c r="C173" t="s">
        <v>650</v>
      </c>
      <c r="D173" t="s">
        <v>590</v>
      </c>
      <c r="E173" t="s">
        <v>598</v>
      </c>
      <c r="F173" s="1">
        <v>0</v>
      </c>
    </row>
    <row r="174" spans="1:6" x14ac:dyDescent="0.3">
      <c r="A174" s="2">
        <v>44011</v>
      </c>
      <c r="B174" s="42">
        <v>0.8125</v>
      </c>
      <c r="C174" t="s">
        <v>652</v>
      </c>
      <c r="D174" t="s">
        <v>599</v>
      </c>
      <c r="E174" t="s">
        <v>586</v>
      </c>
      <c r="F174" s="1">
        <v>0</v>
      </c>
    </row>
    <row r="175" spans="1:6" x14ac:dyDescent="0.3">
      <c r="A175" s="2">
        <v>44012</v>
      </c>
      <c r="B175" s="42">
        <v>0.67708333333333337</v>
      </c>
      <c r="C175" t="s">
        <v>650</v>
      </c>
      <c r="D175" t="s">
        <v>587</v>
      </c>
      <c r="E175" t="s">
        <v>586</v>
      </c>
      <c r="F175" s="1">
        <v>0</v>
      </c>
    </row>
    <row r="176" spans="1:6" x14ac:dyDescent="0.3">
      <c r="A176" s="2">
        <v>44012</v>
      </c>
      <c r="B176" s="42">
        <v>0.74305555555555547</v>
      </c>
      <c r="C176" t="s">
        <v>651</v>
      </c>
      <c r="D176" t="s">
        <v>600</v>
      </c>
      <c r="E176" t="s">
        <v>586</v>
      </c>
      <c r="F176" s="1">
        <v>0</v>
      </c>
    </row>
    <row r="177" spans="1:6" x14ac:dyDescent="0.3">
      <c r="A177" s="2">
        <v>44012</v>
      </c>
      <c r="B177" s="42">
        <v>0.9375</v>
      </c>
      <c r="C177" t="s">
        <v>651</v>
      </c>
      <c r="D177" t="s">
        <v>585</v>
      </c>
      <c r="E177" t="s">
        <v>618</v>
      </c>
      <c r="F177" s="1">
        <v>0</v>
      </c>
    </row>
    <row r="178" spans="1:6" x14ac:dyDescent="0.3">
      <c r="A178" s="2">
        <v>44013</v>
      </c>
      <c r="B178" s="42">
        <v>0.94930555555555562</v>
      </c>
      <c r="C178" t="s">
        <v>651</v>
      </c>
      <c r="D178" t="s">
        <v>613</v>
      </c>
      <c r="E178" t="s">
        <v>586</v>
      </c>
      <c r="F178" s="1">
        <v>0</v>
      </c>
    </row>
    <row r="179" spans="1:6" x14ac:dyDescent="0.3">
      <c r="A179" s="2">
        <v>44014</v>
      </c>
      <c r="B179" s="42">
        <v>0.55902777777777779</v>
      </c>
      <c r="C179" t="s">
        <v>651</v>
      </c>
      <c r="D179" t="s">
        <v>593</v>
      </c>
      <c r="E179" t="s">
        <v>586</v>
      </c>
      <c r="F179" s="1">
        <v>1</v>
      </c>
    </row>
    <row r="180" spans="1:6" x14ac:dyDescent="0.3">
      <c r="A180" s="2">
        <v>44017</v>
      </c>
      <c r="B180" s="42">
        <v>0.16666666666666666</v>
      </c>
      <c r="C180" t="s">
        <v>650</v>
      </c>
      <c r="D180" t="s">
        <v>590</v>
      </c>
      <c r="E180" t="s">
        <v>622</v>
      </c>
      <c r="F180" s="1">
        <v>0</v>
      </c>
    </row>
    <row r="181" spans="1:6" x14ac:dyDescent="0.3">
      <c r="A181" s="2">
        <v>44018</v>
      </c>
      <c r="B181" s="42">
        <v>0.35347222222222219</v>
      </c>
      <c r="C181" t="s">
        <v>651</v>
      </c>
      <c r="D181" t="s">
        <v>617</v>
      </c>
      <c r="E181" t="s">
        <v>618</v>
      </c>
      <c r="F181" s="1">
        <v>1</v>
      </c>
    </row>
    <row r="182" spans="1:6" x14ac:dyDescent="0.3">
      <c r="A182" s="2">
        <v>44021</v>
      </c>
      <c r="B182" s="42">
        <v>0.44930555555555557</v>
      </c>
      <c r="C182" t="s">
        <v>650</v>
      </c>
      <c r="D182" t="s">
        <v>587</v>
      </c>
      <c r="E182" t="s">
        <v>608</v>
      </c>
      <c r="F182" s="1">
        <v>0</v>
      </c>
    </row>
    <row r="183" spans="1:6" x14ac:dyDescent="0.3">
      <c r="A183" s="2">
        <v>44022</v>
      </c>
      <c r="B183" s="42">
        <v>0.41666666666666669</v>
      </c>
      <c r="C183" t="s">
        <v>649</v>
      </c>
      <c r="D183" t="s">
        <v>602</v>
      </c>
      <c r="E183" t="s">
        <v>622</v>
      </c>
      <c r="F183" s="1">
        <v>0</v>
      </c>
    </row>
    <row r="184" spans="1:6" x14ac:dyDescent="0.3">
      <c r="A184" s="2">
        <v>44022</v>
      </c>
      <c r="B184" s="42">
        <v>0.72222222222222221</v>
      </c>
      <c r="C184" t="s">
        <v>651</v>
      </c>
      <c r="D184" t="s">
        <v>590</v>
      </c>
      <c r="E184" t="s">
        <v>618</v>
      </c>
      <c r="F184" s="1">
        <v>0</v>
      </c>
    </row>
    <row r="185" spans="1:6" x14ac:dyDescent="0.3">
      <c r="A185" s="2">
        <v>44023</v>
      </c>
      <c r="B185" s="42">
        <v>0.1076388888888889</v>
      </c>
      <c r="C185" t="s">
        <v>652</v>
      </c>
      <c r="D185" t="s">
        <v>593</v>
      </c>
      <c r="E185" t="s">
        <v>586</v>
      </c>
      <c r="F185" s="1">
        <v>1</v>
      </c>
    </row>
    <row r="186" spans="1:6" x14ac:dyDescent="0.3">
      <c r="A186" s="2">
        <v>44023</v>
      </c>
      <c r="B186" s="42">
        <v>0.57986111111111105</v>
      </c>
      <c r="C186" t="s">
        <v>650</v>
      </c>
      <c r="D186" t="s">
        <v>590</v>
      </c>
      <c r="E186" t="s">
        <v>586</v>
      </c>
      <c r="F186" s="1">
        <v>0</v>
      </c>
    </row>
    <row r="187" spans="1:6" x14ac:dyDescent="0.3">
      <c r="A187" s="2">
        <v>44025</v>
      </c>
      <c r="B187" s="42">
        <v>0.19999999999999998</v>
      </c>
      <c r="C187" t="s">
        <v>650</v>
      </c>
      <c r="D187" t="s">
        <v>585</v>
      </c>
      <c r="E187" t="s">
        <v>586</v>
      </c>
      <c r="F187" s="1">
        <v>0</v>
      </c>
    </row>
    <row r="188" spans="1:6" x14ac:dyDescent="0.3">
      <c r="A188" s="2">
        <v>44026</v>
      </c>
      <c r="B188" s="42">
        <v>0.47916666666666669</v>
      </c>
      <c r="C188" t="s">
        <v>649</v>
      </c>
      <c r="D188" t="s">
        <v>616</v>
      </c>
      <c r="E188" t="s">
        <v>618</v>
      </c>
      <c r="F188" s="1">
        <v>0</v>
      </c>
    </row>
    <row r="189" spans="1:6" x14ac:dyDescent="0.3">
      <c r="A189" s="2">
        <v>44026</v>
      </c>
      <c r="B189" s="42">
        <v>0.71527777777777779</v>
      </c>
      <c r="C189" t="s">
        <v>650</v>
      </c>
      <c r="D189" t="s">
        <v>590</v>
      </c>
      <c r="E189" t="s">
        <v>598</v>
      </c>
      <c r="F189" s="1">
        <v>0</v>
      </c>
    </row>
    <row r="190" spans="1:6" x14ac:dyDescent="0.3">
      <c r="A190" s="2">
        <v>44028</v>
      </c>
      <c r="B190" s="42">
        <v>0.41875000000000001</v>
      </c>
      <c r="C190" t="s">
        <v>649</v>
      </c>
      <c r="D190" t="s">
        <v>587</v>
      </c>
      <c r="E190" t="s">
        <v>624</v>
      </c>
      <c r="F190" s="1">
        <v>1</v>
      </c>
    </row>
    <row r="191" spans="1:6" x14ac:dyDescent="0.3">
      <c r="A191" s="2">
        <v>44029</v>
      </c>
      <c r="B191" s="42">
        <v>1.3888888888888888E-2</v>
      </c>
      <c r="C191" t="s">
        <v>652</v>
      </c>
      <c r="D191" t="s">
        <v>615</v>
      </c>
      <c r="E191" t="s">
        <v>586</v>
      </c>
      <c r="F191" s="1">
        <v>0</v>
      </c>
    </row>
    <row r="192" spans="1:6" x14ac:dyDescent="0.3">
      <c r="A192" s="2">
        <v>44029</v>
      </c>
      <c r="B192" s="42">
        <v>0.34027777777777773</v>
      </c>
      <c r="C192" t="s">
        <v>650</v>
      </c>
      <c r="D192" t="s">
        <v>587</v>
      </c>
      <c r="E192" t="s">
        <v>586</v>
      </c>
      <c r="F192" s="1">
        <v>0</v>
      </c>
    </row>
    <row r="193" spans="1:6" x14ac:dyDescent="0.3">
      <c r="A193" s="2">
        <v>44029</v>
      </c>
      <c r="B193" s="42">
        <v>0.66666666666666663</v>
      </c>
      <c r="C193" t="s">
        <v>649</v>
      </c>
      <c r="D193" t="s">
        <v>587</v>
      </c>
      <c r="E193" t="s">
        <v>598</v>
      </c>
      <c r="F193" s="1">
        <v>0</v>
      </c>
    </row>
    <row r="194" spans="1:6" x14ac:dyDescent="0.3">
      <c r="A194" s="2">
        <v>44029</v>
      </c>
      <c r="B194" s="42">
        <v>0.79513888888888884</v>
      </c>
      <c r="C194" t="s">
        <v>650</v>
      </c>
      <c r="D194" t="s">
        <v>611</v>
      </c>
      <c r="E194" t="s">
        <v>586</v>
      </c>
      <c r="F194" s="1">
        <v>0</v>
      </c>
    </row>
    <row r="195" spans="1:6" x14ac:dyDescent="0.3">
      <c r="A195" s="2">
        <v>44030</v>
      </c>
      <c r="B195" s="42">
        <v>0.57291666666666663</v>
      </c>
      <c r="C195" t="s">
        <v>651</v>
      </c>
      <c r="D195" t="s">
        <v>590</v>
      </c>
      <c r="E195" t="s">
        <v>586</v>
      </c>
      <c r="F195" s="1">
        <v>0</v>
      </c>
    </row>
    <row r="196" spans="1:6" x14ac:dyDescent="0.3">
      <c r="A196" s="2">
        <v>44031</v>
      </c>
      <c r="B196" s="42">
        <v>0.53125</v>
      </c>
      <c r="C196" t="s">
        <v>653</v>
      </c>
      <c r="D196" t="s">
        <v>590</v>
      </c>
      <c r="E196" t="s">
        <v>586</v>
      </c>
      <c r="F196" s="1">
        <v>0</v>
      </c>
    </row>
    <row r="197" spans="1:6" x14ac:dyDescent="0.3">
      <c r="A197" s="2">
        <v>44032</v>
      </c>
      <c r="B197" s="42">
        <v>0.3263888888888889</v>
      </c>
      <c r="C197" t="s">
        <v>650</v>
      </c>
      <c r="D197" t="s">
        <v>590</v>
      </c>
      <c r="E197" t="s">
        <v>618</v>
      </c>
      <c r="F197" s="1">
        <v>2</v>
      </c>
    </row>
    <row r="198" spans="1:6" x14ac:dyDescent="0.3">
      <c r="A198" s="2">
        <v>44033</v>
      </c>
      <c r="B198" s="42">
        <v>0.34722222222222227</v>
      </c>
      <c r="C198" t="s">
        <v>650</v>
      </c>
      <c r="D198" t="s">
        <v>587</v>
      </c>
      <c r="E198" t="s">
        <v>586</v>
      </c>
      <c r="F198" s="1">
        <v>0</v>
      </c>
    </row>
    <row r="199" spans="1:6" x14ac:dyDescent="0.3">
      <c r="A199" s="2">
        <v>44033</v>
      </c>
      <c r="B199" s="42">
        <v>0.76874999999999993</v>
      </c>
      <c r="C199" t="s">
        <v>651</v>
      </c>
      <c r="D199" t="s">
        <v>587</v>
      </c>
      <c r="E199" t="s">
        <v>586</v>
      </c>
      <c r="F199" s="1">
        <v>0</v>
      </c>
    </row>
    <row r="200" spans="1:6" x14ac:dyDescent="0.3">
      <c r="A200" s="2">
        <v>44033</v>
      </c>
      <c r="B200" s="42">
        <v>0.91666666666666663</v>
      </c>
      <c r="C200" t="s">
        <v>649</v>
      </c>
      <c r="D200" t="s">
        <v>604</v>
      </c>
      <c r="E200" t="s">
        <v>610</v>
      </c>
      <c r="F200" s="1">
        <v>1</v>
      </c>
    </row>
    <row r="201" spans="1:6" x14ac:dyDescent="0.3">
      <c r="A201" s="2">
        <v>44034</v>
      </c>
      <c r="B201" s="42">
        <v>0.70486111111111116</v>
      </c>
      <c r="C201" t="s">
        <v>649</v>
      </c>
      <c r="D201" t="s">
        <v>587</v>
      </c>
      <c r="E201" t="s">
        <v>586</v>
      </c>
      <c r="F201" s="1">
        <v>1</v>
      </c>
    </row>
    <row r="202" spans="1:6" x14ac:dyDescent="0.3">
      <c r="A202" s="25"/>
      <c r="B202" s="36"/>
    </row>
    <row r="203" spans="1:6" x14ac:dyDescent="0.3">
      <c r="A203" s="25"/>
      <c r="B203" s="36"/>
    </row>
    <row r="204" spans="1:6" x14ac:dyDescent="0.3">
      <c r="A204" s="25"/>
      <c r="B204" s="36"/>
    </row>
    <row r="205" spans="1:6" x14ac:dyDescent="0.3">
      <c r="A205" s="25"/>
      <c r="B205" s="36"/>
    </row>
    <row r="206" spans="1:6" x14ac:dyDescent="0.3">
      <c r="A206" s="25"/>
      <c r="B206" s="36"/>
    </row>
    <row r="207" spans="1:6" x14ac:dyDescent="0.3">
      <c r="A207" s="25"/>
      <c r="B207" s="36"/>
    </row>
    <row r="208" spans="1:6" x14ac:dyDescent="0.3">
      <c r="A208" s="25"/>
      <c r="B208" s="36"/>
    </row>
    <row r="209" spans="1:2" x14ac:dyDescent="0.3">
      <c r="A209" s="25"/>
      <c r="B209" s="36"/>
    </row>
    <row r="210" spans="1:2" x14ac:dyDescent="0.3">
      <c r="A210" s="25"/>
      <c r="B210" s="36"/>
    </row>
    <row r="211" spans="1:2" x14ac:dyDescent="0.3">
      <c r="A211" s="25"/>
      <c r="B211" s="36"/>
    </row>
    <row r="212" spans="1:2" x14ac:dyDescent="0.3">
      <c r="A212" s="25"/>
      <c r="B212" s="36"/>
    </row>
    <row r="213" spans="1:2" x14ac:dyDescent="0.3">
      <c r="A213" s="25"/>
      <c r="B213" s="36"/>
    </row>
    <row r="214" spans="1:2" x14ac:dyDescent="0.3">
      <c r="A214" s="25"/>
      <c r="B214" s="36"/>
    </row>
    <row r="215" spans="1:2" x14ac:dyDescent="0.3">
      <c r="A215" s="25"/>
      <c r="B215" s="36"/>
    </row>
    <row r="216" spans="1:2" x14ac:dyDescent="0.3">
      <c r="A216" s="25"/>
      <c r="B216" s="36"/>
    </row>
    <row r="217" spans="1:2" x14ac:dyDescent="0.3">
      <c r="A217" s="25"/>
      <c r="B217" s="36"/>
    </row>
    <row r="218" spans="1:2" x14ac:dyDescent="0.3">
      <c r="A218" s="25"/>
      <c r="B218" s="36"/>
    </row>
    <row r="219" spans="1:2" x14ac:dyDescent="0.3">
      <c r="A219" s="25"/>
      <c r="B219" s="36"/>
    </row>
    <row r="220" spans="1:2" x14ac:dyDescent="0.3">
      <c r="A220" s="25"/>
      <c r="B220" s="36"/>
    </row>
    <row r="221" spans="1:2" x14ac:dyDescent="0.3">
      <c r="A221" s="25"/>
      <c r="B221" s="36"/>
    </row>
    <row r="222" spans="1:2" x14ac:dyDescent="0.3">
      <c r="A222" s="25"/>
      <c r="B222" s="36"/>
    </row>
    <row r="223" spans="1:2" x14ac:dyDescent="0.3">
      <c r="A223" s="25"/>
      <c r="B223" s="36"/>
    </row>
    <row r="224" spans="1:2" x14ac:dyDescent="0.3">
      <c r="A224" s="25"/>
      <c r="B224" s="36"/>
    </row>
    <row r="225" spans="1:2" x14ac:dyDescent="0.3">
      <c r="A225" s="25"/>
      <c r="B225" s="36"/>
    </row>
    <row r="226" spans="1:2" x14ac:dyDescent="0.3">
      <c r="A226" s="25"/>
      <c r="B226" s="36"/>
    </row>
    <row r="227" spans="1:2" x14ac:dyDescent="0.3">
      <c r="A227" s="25"/>
      <c r="B227" s="36"/>
    </row>
    <row r="228" spans="1:2" x14ac:dyDescent="0.3">
      <c r="A228" s="25"/>
      <c r="B228" s="36"/>
    </row>
    <row r="229" spans="1:2" x14ac:dyDescent="0.3">
      <c r="A229" s="25"/>
      <c r="B229" s="36"/>
    </row>
    <row r="230" spans="1:2" x14ac:dyDescent="0.3">
      <c r="A230" s="25"/>
      <c r="B230" s="36"/>
    </row>
  </sheetData>
  <mergeCells count="1">
    <mergeCell ref="A1:F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6BA0F-4C61-4309-84AD-B4AC648BA68A}">
  <sheetPr>
    <tabColor rgb="FFFF9999"/>
  </sheetPr>
  <dimension ref="A1:F178"/>
  <sheetViews>
    <sheetView workbookViewId="0">
      <selection activeCell="D16" sqref="D16"/>
    </sheetView>
  </sheetViews>
  <sheetFormatPr defaultRowHeight="14.4" x14ac:dyDescent="0.3"/>
  <cols>
    <col min="1" max="1" width="11.88671875" bestFit="1" customWidth="1"/>
    <col min="3" max="3" width="14.6640625" bestFit="1" customWidth="1"/>
    <col min="4" max="4" width="50.5546875" bestFit="1" customWidth="1"/>
    <col min="5" max="5" width="14.6640625" bestFit="1" customWidth="1"/>
    <col min="6" max="6" width="18.88671875" bestFit="1" customWidth="1"/>
  </cols>
  <sheetData>
    <row r="1" spans="1:6" ht="18" x14ac:dyDescent="0.35">
      <c r="A1" s="53" t="s">
        <v>629</v>
      </c>
      <c r="B1" s="53"/>
      <c r="C1" s="53"/>
      <c r="D1" s="53"/>
      <c r="E1" s="53"/>
      <c r="F1" s="53"/>
    </row>
    <row r="2" spans="1:6" x14ac:dyDescent="0.3">
      <c r="A2" s="37" t="s">
        <v>579</v>
      </c>
      <c r="B2" s="37" t="s">
        <v>580</v>
      </c>
      <c r="C2" s="37" t="s">
        <v>581</v>
      </c>
      <c r="D2" s="37" t="s">
        <v>583</v>
      </c>
      <c r="E2" s="37" t="s">
        <v>584</v>
      </c>
      <c r="F2" s="37" t="s">
        <v>582</v>
      </c>
    </row>
    <row r="3" spans="1:6" x14ac:dyDescent="0.3">
      <c r="A3" s="2">
        <v>43831</v>
      </c>
      <c r="B3" s="42">
        <v>9.9999999999999992E-2</v>
      </c>
      <c r="C3" t="s">
        <v>651</v>
      </c>
      <c r="D3" t="s">
        <v>587</v>
      </c>
      <c r="E3" t="s">
        <v>622</v>
      </c>
      <c r="F3" s="1">
        <v>3</v>
      </c>
    </row>
    <row r="4" spans="1:6" x14ac:dyDescent="0.3">
      <c r="A4" s="2">
        <v>43833</v>
      </c>
      <c r="B4" s="42">
        <v>0.22222222222222221</v>
      </c>
      <c r="C4" t="s">
        <v>649</v>
      </c>
      <c r="D4" t="s">
        <v>587</v>
      </c>
      <c r="E4" t="s">
        <v>608</v>
      </c>
      <c r="F4" s="1">
        <v>1</v>
      </c>
    </row>
    <row r="5" spans="1:6" x14ac:dyDescent="0.3">
      <c r="A5" s="2">
        <v>43834</v>
      </c>
      <c r="B5" s="42">
        <v>0.19583333333333333</v>
      </c>
      <c r="C5" t="s">
        <v>649</v>
      </c>
      <c r="D5" t="s">
        <v>587</v>
      </c>
      <c r="E5" t="s">
        <v>586</v>
      </c>
      <c r="F5" s="1">
        <v>0</v>
      </c>
    </row>
    <row r="6" spans="1:6" x14ac:dyDescent="0.3">
      <c r="A6" s="2">
        <v>43835</v>
      </c>
      <c r="B6" s="42">
        <v>0.28333333333333333</v>
      </c>
      <c r="C6" t="s">
        <v>651</v>
      </c>
      <c r="D6" t="s">
        <v>593</v>
      </c>
      <c r="E6" t="s">
        <v>586</v>
      </c>
      <c r="F6" s="1">
        <v>2</v>
      </c>
    </row>
    <row r="7" spans="1:6" x14ac:dyDescent="0.3">
      <c r="A7" s="2">
        <v>43835</v>
      </c>
      <c r="B7" s="42">
        <v>0.33333333333333331</v>
      </c>
      <c r="C7" t="s">
        <v>652</v>
      </c>
      <c r="D7" t="s">
        <v>588</v>
      </c>
      <c r="E7" t="s">
        <v>622</v>
      </c>
      <c r="F7" s="1">
        <v>0</v>
      </c>
    </row>
    <row r="8" spans="1:6" x14ac:dyDescent="0.3">
      <c r="A8" s="2">
        <v>43835</v>
      </c>
      <c r="B8" s="42">
        <v>0.71180555555555547</v>
      </c>
      <c r="C8" t="s">
        <v>649</v>
      </c>
      <c r="D8" t="s">
        <v>609</v>
      </c>
      <c r="E8" t="s">
        <v>586</v>
      </c>
      <c r="F8" s="1">
        <v>0</v>
      </c>
    </row>
    <row r="9" spans="1:6" x14ac:dyDescent="0.3">
      <c r="A9" s="2">
        <v>43837</v>
      </c>
      <c r="B9" s="42">
        <v>0.875</v>
      </c>
      <c r="C9" t="s">
        <v>650</v>
      </c>
      <c r="D9" t="s">
        <v>604</v>
      </c>
      <c r="E9" t="s">
        <v>586</v>
      </c>
      <c r="F9" s="1">
        <v>0</v>
      </c>
    </row>
    <row r="10" spans="1:6" x14ac:dyDescent="0.3">
      <c r="A10" s="2">
        <v>43838</v>
      </c>
      <c r="B10" s="42">
        <v>0.75</v>
      </c>
      <c r="C10" t="s">
        <v>650</v>
      </c>
      <c r="D10" t="s">
        <v>587</v>
      </c>
      <c r="E10" t="s">
        <v>586</v>
      </c>
      <c r="F10" s="1">
        <v>0</v>
      </c>
    </row>
    <row r="11" spans="1:6" x14ac:dyDescent="0.3">
      <c r="A11" s="2">
        <v>43838</v>
      </c>
      <c r="B11" s="42">
        <v>0.94374999999999998</v>
      </c>
      <c r="C11" t="s">
        <v>651</v>
      </c>
      <c r="D11" t="s">
        <v>609</v>
      </c>
      <c r="E11" t="s">
        <v>586</v>
      </c>
      <c r="F11" s="1">
        <v>0</v>
      </c>
    </row>
    <row r="12" spans="1:6" x14ac:dyDescent="0.3">
      <c r="A12" s="2">
        <v>43839</v>
      </c>
      <c r="B12" s="42">
        <v>1.3888888888888889E-3</v>
      </c>
      <c r="C12" t="s">
        <v>649</v>
      </c>
      <c r="D12" t="s">
        <v>593</v>
      </c>
      <c r="E12" t="s">
        <v>586</v>
      </c>
      <c r="F12" s="1">
        <v>1</v>
      </c>
    </row>
    <row r="13" spans="1:6" x14ac:dyDescent="0.3">
      <c r="A13" s="2">
        <v>43839</v>
      </c>
      <c r="B13" s="42">
        <v>0.58333333333333337</v>
      </c>
      <c r="C13" t="s">
        <v>649</v>
      </c>
      <c r="D13" t="s">
        <v>587</v>
      </c>
      <c r="E13" t="s">
        <v>591</v>
      </c>
      <c r="F13" s="1">
        <v>0</v>
      </c>
    </row>
    <row r="14" spans="1:6" x14ac:dyDescent="0.3">
      <c r="A14" s="2">
        <v>43840</v>
      </c>
      <c r="B14" s="42">
        <v>0.54861111111111105</v>
      </c>
      <c r="C14" t="s">
        <v>649</v>
      </c>
      <c r="D14" t="s">
        <v>592</v>
      </c>
      <c r="E14" t="s">
        <v>624</v>
      </c>
      <c r="F14" s="1">
        <v>0</v>
      </c>
    </row>
    <row r="15" spans="1:6" x14ac:dyDescent="0.3">
      <c r="A15" s="2">
        <v>43840</v>
      </c>
      <c r="B15" s="42">
        <v>0.85069444444444453</v>
      </c>
      <c r="C15" t="s">
        <v>652</v>
      </c>
      <c r="D15" t="s">
        <v>587</v>
      </c>
      <c r="E15" t="s">
        <v>591</v>
      </c>
      <c r="F15" s="1">
        <v>1</v>
      </c>
    </row>
    <row r="16" spans="1:6" x14ac:dyDescent="0.3">
      <c r="A16" s="2">
        <v>43840</v>
      </c>
      <c r="B16" s="42">
        <v>0.85486111111111107</v>
      </c>
      <c r="C16" t="s">
        <v>649</v>
      </c>
      <c r="D16" t="s">
        <v>587</v>
      </c>
      <c r="E16" t="s">
        <v>622</v>
      </c>
      <c r="F16" s="1">
        <v>0</v>
      </c>
    </row>
    <row r="17" spans="1:6" x14ac:dyDescent="0.3">
      <c r="A17" s="2">
        <v>43840</v>
      </c>
      <c r="B17" s="42">
        <v>0.98333333333333339</v>
      </c>
      <c r="C17" t="s">
        <v>650</v>
      </c>
      <c r="D17" t="s">
        <v>587</v>
      </c>
      <c r="E17" t="s">
        <v>586</v>
      </c>
      <c r="F17" s="1">
        <v>0</v>
      </c>
    </row>
    <row r="18" spans="1:6" x14ac:dyDescent="0.3">
      <c r="A18" s="2">
        <v>43841</v>
      </c>
      <c r="B18" s="42">
        <v>0.47222222222222227</v>
      </c>
      <c r="C18" t="s">
        <v>652</v>
      </c>
      <c r="D18" t="s">
        <v>587</v>
      </c>
      <c r="E18" t="s">
        <v>622</v>
      </c>
      <c r="F18" s="1">
        <v>1</v>
      </c>
    </row>
    <row r="19" spans="1:6" x14ac:dyDescent="0.3">
      <c r="A19" s="2">
        <v>43842</v>
      </c>
      <c r="B19" s="42">
        <v>0.71180555555555547</v>
      </c>
      <c r="C19" t="s">
        <v>649</v>
      </c>
      <c r="D19" t="s">
        <v>587</v>
      </c>
      <c r="E19" t="s">
        <v>586</v>
      </c>
      <c r="F19" s="1">
        <v>0</v>
      </c>
    </row>
    <row r="20" spans="1:6" x14ac:dyDescent="0.3">
      <c r="A20" s="2">
        <v>43842</v>
      </c>
      <c r="B20" s="42">
        <v>0.79166666666666663</v>
      </c>
      <c r="C20" t="s">
        <v>652</v>
      </c>
      <c r="D20" t="s">
        <v>587</v>
      </c>
      <c r="E20" t="s">
        <v>586</v>
      </c>
      <c r="F20" s="1">
        <v>0</v>
      </c>
    </row>
    <row r="21" spans="1:6" x14ac:dyDescent="0.3">
      <c r="A21" s="2">
        <v>43843</v>
      </c>
      <c r="B21" s="42">
        <v>6.9444444444444434E-2</v>
      </c>
      <c r="C21" t="s">
        <v>652</v>
      </c>
      <c r="D21" t="s">
        <v>617</v>
      </c>
      <c r="E21" t="s">
        <v>622</v>
      </c>
      <c r="F21" s="1">
        <v>1</v>
      </c>
    </row>
    <row r="22" spans="1:6" x14ac:dyDescent="0.3">
      <c r="A22" s="2">
        <v>43844</v>
      </c>
      <c r="B22" s="42">
        <v>0.30555555555555552</v>
      </c>
      <c r="C22" t="s">
        <v>651</v>
      </c>
      <c r="D22" t="s">
        <v>609</v>
      </c>
      <c r="E22" t="s">
        <v>586</v>
      </c>
      <c r="F22" s="1">
        <v>0</v>
      </c>
    </row>
    <row r="23" spans="1:6" x14ac:dyDescent="0.3">
      <c r="A23" s="2">
        <v>43844</v>
      </c>
      <c r="B23" s="42">
        <v>0.5756944444444444</v>
      </c>
      <c r="C23" t="s">
        <v>652</v>
      </c>
      <c r="D23" t="s">
        <v>592</v>
      </c>
      <c r="E23" t="s">
        <v>586</v>
      </c>
      <c r="F23" s="1">
        <v>0</v>
      </c>
    </row>
    <row r="24" spans="1:6" x14ac:dyDescent="0.3">
      <c r="A24" s="2">
        <v>43845</v>
      </c>
      <c r="B24" s="42">
        <v>0.81388888888888899</v>
      </c>
      <c r="C24" t="s">
        <v>649</v>
      </c>
      <c r="D24" t="s">
        <v>592</v>
      </c>
      <c r="E24" t="s">
        <v>607</v>
      </c>
      <c r="F24" s="1">
        <v>1</v>
      </c>
    </row>
    <row r="25" spans="1:6" x14ac:dyDescent="0.3">
      <c r="A25" s="2">
        <v>43845</v>
      </c>
      <c r="B25" s="42">
        <v>0.82291666666666663</v>
      </c>
      <c r="C25" t="s">
        <v>652</v>
      </c>
      <c r="D25" t="s">
        <v>587</v>
      </c>
      <c r="E25" t="s">
        <v>586</v>
      </c>
      <c r="F25" s="1">
        <v>1</v>
      </c>
    </row>
    <row r="26" spans="1:6" x14ac:dyDescent="0.3">
      <c r="A26" s="2">
        <v>43846</v>
      </c>
      <c r="B26" s="42">
        <v>0.46875</v>
      </c>
      <c r="C26" t="s">
        <v>652</v>
      </c>
      <c r="D26" t="s">
        <v>609</v>
      </c>
      <c r="E26" t="s">
        <v>586</v>
      </c>
      <c r="F26" s="1">
        <v>0</v>
      </c>
    </row>
    <row r="27" spans="1:6" x14ac:dyDescent="0.3">
      <c r="A27" s="2">
        <v>43846</v>
      </c>
      <c r="B27" s="42">
        <v>0.52430555555555558</v>
      </c>
      <c r="C27" t="s">
        <v>649</v>
      </c>
      <c r="D27" t="s">
        <v>587</v>
      </c>
      <c r="E27" t="s">
        <v>586</v>
      </c>
      <c r="F27" s="1">
        <v>0</v>
      </c>
    </row>
    <row r="28" spans="1:6" x14ac:dyDescent="0.3">
      <c r="A28" s="2">
        <v>43846</v>
      </c>
      <c r="B28" s="42">
        <v>0.64513888888888882</v>
      </c>
      <c r="C28" t="s">
        <v>651</v>
      </c>
      <c r="D28" t="s">
        <v>585</v>
      </c>
      <c r="E28" t="s">
        <v>586</v>
      </c>
      <c r="F28" s="1">
        <v>0</v>
      </c>
    </row>
    <row r="29" spans="1:6" x14ac:dyDescent="0.3">
      <c r="A29" s="2">
        <v>43849</v>
      </c>
      <c r="B29" s="42">
        <v>0.21319444444444444</v>
      </c>
      <c r="C29" t="s">
        <v>651</v>
      </c>
      <c r="D29" t="s">
        <v>609</v>
      </c>
      <c r="E29" t="s">
        <v>622</v>
      </c>
      <c r="F29" s="1">
        <v>0</v>
      </c>
    </row>
    <row r="30" spans="1:6" x14ac:dyDescent="0.3">
      <c r="A30" s="2">
        <v>43849</v>
      </c>
      <c r="B30" s="42">
        <v>0.64583333333333337</v>
      </c>
      <c r="C30" t="s">
        <v>649</v>
      </c>
      <c r="D30" t="s">
        <v>587</v>
      </c>
      <c r="E30" t="s">
        <v>586</v>
      </c>
      <c r="F30" s="1">
        <v>0</v>
      </c>
    </row>
    <row r="31" spans="1:6" x14ac:dyDescent="0.3">
      <c r="A31" s="2">
        <v>43851</v>
      </c>
      <c r="B31" s="42">
        <v>0.47916666666666669</v>
      </c>
      <c r="C31" t="s">
        <v>649</v>
      </c>
      <c r="D31" t="s">
        <v>587</v>
      </c>
      <c r="E31" t="s">
        <v>591</v>
      </c>
      <c r="F31" s="1">
        <v>0</v>
      </c>
    </row>
    <row r="32" spans="1:6" x14ac:dyDescent="0.3">
      <c r="A32" s="2">
        <v>43852</v>
      </c>
      <c r="B32" s="42">
        <v>0.1875</v>
      </c>
      <c r="C32" t="s">
        <v>649</v>
      </c>
      <c r="D32" t="s">
        <v>609</v>
      </c>
      <c r="E32" t="s">
        <v>586</v>
      </c>
      <c r="F32" s="1">
        <v>0</v>
      </c>
    </row>
    <row r="33" spans="1:6" x14ac:dyDescent="0.3">
      <c r="A33" s="2">
        <v>43852</v>
      </c>
      <c r="B33" s="42">
        <v>0.76736111111111116</v>
      </c>
      <c r="C33" t="s">
        <v>649</v>
      </c>
      <c r="D33" t="s">
        <v>587</v>
      </c>
      <c r="E33" t="s">
        <v>622</v>
      </c>
      <c r="F33" s="1">
        <v>0</v>
      </c>
    </row>
    <row r="34" spans="1:6" x14ac:dyDescent="0.3">
      <c r="A34" s="2">
        <v>43852</v>
      </c>
      <c r="B34" s="42">
        <v>0.8208333333333333</v>
      </c>
      <c r="C34" t="s">
        <v>649</v>
      </c>
      <c r="D34" t="s">
        <v>587</v>
      </c>
      <c r="E34" t="s">
        <v>586</v>
      </c>
      <c r="F34" s="1">
        <v>0</v>
      </c>
    </row>
    <row r="35" spans="1:6" x14ac:dyDescent="0.3">
      <c r="A35" s="2">
        <v>43853</v>
      </c>
      <c r="B35" s="42">
        <v>0.34861111111111115</v>
      </c>
      <c r="C35" t="s">
        <v>649</v>
      </c>
      <c r="D35" t="s">
        <v>587</v>
      </c>
      <c r="E35" t="s">
        <v>586</v>
      </c>
      <c r="F35" s="1">
        <v>0</v>
      </c>
    </row>
    <row r="36" spans="1:6" x14ac:dyDescent="0.3">
      <c r="A36" s="2">
        <v>43854</v>
      </c>
      <c r="B36" s="42">
        <v>0.92361111111111116</v>
      </c>
      <c r="C36" t="s">
        <v>649</v>
      </c>
      <c r="D36" t="s">
        <v>587</v>
      </c>
      <c r="E36" t="s">
        <v>622</v>
      </c>
      <c r="F36" s="1">
        <v>0</v>
      </c>
    </row>
    <row r="37" spans="1:6" x14ac:dyDescent="0.3">
      <c r="A37" s="2">
        <v>43854</v>
      </c>
      <c r="B37" s="42">
        <v>0.99652777777777779</v>
      </c>
      <c r="C37" t="s">
        <v>649</v>
      </c>
      <c r="D37" t="s">
        <v>604</v>
      </c>
      <c r="E37" t="s">
        <v>586</v>
      </c>
      <c r="F37" s="1">
        <v>0</v>
      </c>
    </row>
    <row r="38" spans="1:6" x14ac:dyDescent="0.3">
      <c r="A38" s="2">
        <v>43855</v>
      </c>
      <c r="B38" s="42">
        <v>0.69374999999999998</v>
      </c>
      <c r="C38" t="s">
        <v>651</v>
      </c>
      <c r="D38" t="s">
        <v>609</v>
      </c>
      <c r="E38" t="s">
        <v>622</v>
      </c>
      <c r="F38" s="1">
        <v>0</v>
      </c>
    </row>
    <row r="39" spans="1:6" x14ac:dyDescent="0.3">
      <c r="A39" s="2">
        <v>43857</v>
      </c>
      <c r="B39" s="42">
        <v>0.65972222222222221</v>
      </c>
      <c r="C39" t="s">
        <v>649</v>
      </c>
      <c r="D39" t="s">
        <v>587</v>
      </c>
      <c r="E39" t="s">
        <v>591</v>
      </c>
      <c r="F39" s="1">
        <v>1</v>
      </c>
    </row>
    <row r="40" spans="1:6" x14ac:dyDescent="0.3">
      <c r="A40" s="2">
        <v>43858</v>
      </c>
      <c r="B40" s="42">
        <v>0.34027777777777773</v>
      </c>
      <c r="C40" t="s">
        <v>649</v>
      </c>
      <c r="D40" t="s">
        <v>611</v>
      </c>
      <c r="E40" t="s">
        <v>608</v>
      </c>
      <c r="F40" s="1">
        <v>0</v>
      </c>
    </row>
    <row r="41" spans="1:6" x14ac:dyDescent="0.3">
      <c r="A41" s="2">
        <v>43858</v>
      </c>
      <c r="B41" s="42">
        <v>0.77847222222222223</v>
      </c>
      <c r="C41" t="s">
        <v>649</v>
      </c>
      <c r="D41" t="s">
        <v>587</v>
      </c>
      <c r="E41" t="s">
        <v>622</v>
      </c>
      <c r="F41" s="1">
        <v>0</v>
      </c>
    </row>
    <row r="42" spans="1:6" x14ac:dyDescent="0.3">
      <c r="A42" s="2">
        <v>43859</v>
      </c>
      <c r="B42" s="42">
        <v>0.81597222222222221</v>
      </c>
      <c r="C42" t="s">
        <v>649</v>
      </c>
      <c r="D42" t="s">
        <v>587</v>
      </c>
      <c r="E42" t="s">
        <v>598</v>
      </c>
      <c r="F42" s="1">
        <v>0</v>
      </c>
    </row>
    <row r="43" spans="1:6" x14ac:dyDescent="0.3">
      <c r="A43" s="2">
        <v>43862</v>
      </c>
      <c r="B43" s="42">
        <v>1.6666666666666666E-2</v>
      </c>
      <c r="C43" t="s">
        <v>650</v>
      </c>
      <c r="D43" t="s">
        <v>587</v>
      </c>
      <c r="E43" t="s">
        <v>622</v>
      </c>
      <c r="F43" s="1">
        <v>1</v>
      </c>
    </row>
    <row r="44" spans="1:6" x14ac:dyDescent="0.3">
      <c r="A44" s="2">
        <v>43862</v>
      </c>
      <c r="B44" s="42">
        <v>0.41319444444444442</v>
      </c>
      <c r="C44" t="s">
        <v>649</v>
      </c>
      <c r="D44" t="s">
        <v>587</v>
      </c>
      <c r="E44" t="s">
        <v>622</v>
      </c>
      <c r="F44" s="1">
        <v>0</v>
      </c>
    </row>
    <row r="45" spans="1:6" x14ac:dyDescent="0.3">
      <c r="A45" s="2">
        <v>43863</v>
      </c>
      <c r="B45" s="42">
        <v>8.3333333333333329E-2</v>
      </c>
      <c r="C45" t="s">
        <v>649</v>
      </c>
      <c r="D45" t="s">
        <v>604</v>
      </c>
      <c r="E45" t="s">
        <v>622</v>
      </c>
      <c r="F45" s="1">
        <v>0</v>
      </c>
    </row>
    <row r="46" spans="1:6" x14ac:dyDescent="0.3">
      <c r="A46" s="2">
        <v>43863</v>
      </c>
      <c r="B46" s="42">
        <v>0.60416666666666663</v>
      </c>
      <c r="C46" t="s">
        <v>649</v>
      </c>
      <c r="D46" t="s">
        <v>611</v>
      </c>
      <c r="E46" t="s">
        <v>622</v>
      </c>
      <c r="F46" s="1">
        <v>0</v>
      </c>
    </row>
    <row r="47" spans="1:6" x14ac:dyDescent="0.3">
      <c r="A47" s="2">
        <v>43863</v>
      </c>
      <c r="B47" s="42">
        <v>0.6777777777777777</v>
      </c>
      <c r="C47" t="s">
        <v>649</v>
      </c>
      <c r="D47" t="s">
        <v>587</v>
      </c>
      <c r="E47" t="s">
        <v>586</v>
      </c>
      <c r="F47" s="1">
        <v>0</v>
      </c>
    </row>
    <row r="48" spans="1:6" x14ac:dyDescent="0.3">
      <c r="A48" s="2">
        <v>43864</v>
      </c>
      <c r="B48" s="42">
        <v>0.98125000000000007</v>
      </c>
      <c r="C48" t="s">
        <v>652</v>
      </c>
      <c r="D48" t="s">
        <v>587</v>
      </c>
      <c r="E48" t="s">
        <v>586</v>
      </c>
      <c r="F48" s="1">
        <v>0</v>
      </c>
    </row>
    <row r="49" spans="1:6" x14ac:dyDescent="0.3">
      <c r="A49" s="2">
        <v>43865</v>
      </c>
      <c r="B49" s="42">
        <v>0.76388888888888884</v>
      </c>
      <c r="C49" t="s">
        <v>649</v>
      </c>
      <c r="D49" t="s">
        <v>617</v>
      </c>
      <c r="E49" t="s">
        <v>601</v>
      </c>
      <c r="F49" s="1">
        <v>0</v>
      </c>
    </row>
    <row r="50" spans="1:6" x14ac:dyDescent="0.3">
      <c r="A50" s="2">
        <v>43866</v>
      </c>
      <c r="B50" s="42">
        <v>0.39583333333333331</v>
      </c>
      <c r="C50" t="s">
        <v>651</v>
      </c>
      <c r="D50" t="s">
        <v>616</v>
      </c>
      <c r="E50" t="s">
        <v>622</v>
      </c>
      <c r="F50" s="1">
        <v>1</v>
      </c>
    </row>
    <row r="51" spans="1:6" x14ac:dyDescent="0.3">
      <c r="A51" s="2">
        <v>43867</v>
      </c>
      <c r="B51" s="42">
        <v>0.5</v>
      </c>
      <c r="C51" t="s">
        <v>649</v>
      </c>
      <c r="D51" t="s">
        <v>587</v>
      </c>
      <c r="E51" t="s">
        <v>586</v>
      </c>
      <c r="F51" s="1">
        <v>0</v>
      </c>
    </row>
    <row r="52" spans="1:6" x14ac:dyDescent="0.3">
      <c r="A52" s="2">
        <v>43867</v>
      </c>
      <c r="B52" s="42">
        <v>0.75416666666666676</v>
      </c>
      <c r="C52" t="s">
        <v>651</v>
      </c>
      <c r="D52" t="s">
        <v>587</v>
      </c>
      <c r="E52" t="s">
        <v>622</v>
      </c>
      <c r="F52" s="1">
        <v>0</v>
      </c>
    </row>
    <row r="53" spans="1:6" x14ac:dyDescent="0.3">
      <c r="A53" s="2">
        <v>43867</v>
      </c>
      <c r="B53" s="42">
        <v>0.87152777777777779</v>
      </c>
      <c r="C53" t="s">
        <v>649</v>
      </c>
      <c r="D53" t="s">
        <v>587</v>
      </c>
      <c r="E53" t="s">
        <v>591</v>
      </c>
      <c r="F53" s="1">
        <v>1</v>
      </c>
    </row>
    <row r="54" spans="1:6" x14ac:dyDescent="0.3">
      <c r="A54" s="2">
        <v>43867</v>
      </c>
      <c r="B54" s="42">
        <v>0.97916666666666663</v>
      </c>
      <c r="C54" t="s">
        <v>649</v>
      </c>
      <c r="D54" t="s">
        <v>592</v>
      </c>
      <c r="E54" t="s">
        <v>586</v>
      </c>
      <c r="F54" s="1">
        <v>0</v>
      </c>
    </row>
    <row r="55" spans="1:6" x14ac:dyDescent="0.3">
      <c r="A55" s="2">
        <v>43868</v>
      </c>
      <c r="B55" s="42">
        <v>0.54999999999999993</v>
      </c>
      <c r="C55" t="s">
        <v>649</v>
      </c>
      <c r="D55" t="s">
        <v>587</v>
      </c>
      <c r="E55" t="s">
        <v>586</v>
      </c>
      <c r="F55" s="1">
        <v>0</v>
      </c>
    </row>
    <row r="56" spans="1:6" x14ac:dyDescent="0.3">
      <c r="A56" s="2">
        <v>43868</v>
      </c>
      <c r="B56" s="42">
        <v>0.82291666666666663</v>
      </c>
      <c r="C56" t="s">
        <v>649</v>
      </c>
      <c r="D56" t="s">
        <v>609</v>
      </c>
      <c r="E56" t="s">
        <v>622</v>
      </c>
      <c r="F56" s="1">
        <v>0</v>
      </c>
    </row>
    <row r="57" spans="1:6" x14ac:dyDescent="0.3">
      <c r="A57" s="2">
        <v>43869</v>
      </c>
      <c r="B57" s="42">
        <v>0.72222222222222221</v>
      </c>
      <c r="C57" t="s">
        <v>651</v>
      </c>
      <c r="D57" t="s">
        <v>596</v>
      </c>
      <c r="E57" t="s">
        <v>591</v>
      </c>
      <c r="F57" s="1">
        <v>1</v>
      </c>
    </row>
    <row r="58" spans="1:6" x14ac:dyDescent="0.3">
      <c r="A58" s="2">
        <v>43870</v>
      </c>
      <c r="B58" s="42">
        <v>5.2083333333333336E-2</v>
      </c>
      <c r="C58" t="s">
        <v>649</v>
      </c>
      <c r="D58" t="s">
        <v>592</v>
      </c>
      <c r="E58" t="s">
        <v>622</v>
      </c>
      <c r="F58" s="1">
        <v>0</v>
      </c>
    </row>
    <row r="59" spans="1:6" x14ac:dyDescent="0.3">
      <c r="A59" s="2">
        <v>43870</v>
      </c>
      <c r="B59" s="42">
        <v>0.62152777777777779</v>
      </c>
      <c r="C59" t="s">
        <v>650</v>
      </c>
      <c r="D59" t="s">
        <v>587</v>
      </c>
      <c r="E59" t="s">
        <v>622</v>
      </c>
      <c r="F59" s="1">
        <v>0</v>
      </c>
    </row>
    <row r="60" spans="1:6" x14ac:dyDescent="0.3">
      <c r="A60" s="2">
        <v>43871</v>
      </c>
      <c r="B60" s="42">
        <v>4.8611111111111112E-2</v>
      </c>
      <c r="C60" t="s">
        <v>649</v>
      </c>
      <c r="D60" t="s">
        <v>587</v>
      </c>
      <c r="E60" t="s">
        <v>622</v>
      </c>
      <c r="F60" s="1">
        <v>0</v>
      </c>
    </row>
    <row r="61" spans="1:6" x14ac:dyDescent="0.3">
      <c r="A61" s="2">
        <v>43871</v>
      </c>
      <c r="B61" s="42">
        <v>0.375</v>
      </c>
      <c r="C61" t="s">
        <v>651</v>
      </c>
      <c r="D61" t="s">
        <v>609</v>
      </c>
      <c r="E61" t="s">
        <v>622</v>
      </c>
      <c r="F61" s="1">
        <v>0</v>
      </c>
    </row>
    <row r="62" spans="1:6" x14ac:dyDescent="0.3">
      <c r="A62" s="2">
        <v>43873</v>
      </c>
      <c r="B62" s="42">
        <v>0.44930555555555557</v>
      </c>
      <c r="C62" t="s">
        <v>649</v>
      </c>
      <c r="D62" t="s">
        <v>587</v>
      </c>
      <c r="E62" t="s">
        <v>622</v>
      </c>
      <c r="F62" s="1">
        <v>0</v>
      </c>
    </row>
    <row r="63" spans="1:6" x14ac:dyDescent="0.3">
      <c r="A63" s="2">
        <v>43873</v>
      </c>
      <c r="B63" s="42">
        <v>0.88611111111111107</v>
      </c>
      <c r="C63" t="s">
        <v>649</v>
      </c>
      <c r="D63" t="s">
        <v>587</v>
      </c>
      <c r="E63" t="s">
        <v>608</v>
      </c>
      <c r="F63" s="1">
        <v>0</v>
      </c>
    </row>
    <row r="64" spans="1:6" x14ac:dyDescent="0.3">
      <c r="A64" s="2">
        <v>43874</v>
      </c>
      <c r="B64" s="42">
        <v>0.63194444444444442</v>
      </c>
      <c r="C64" t="s">
        <v>649</v>
      </c>
      <c r="D64" t="s">
        <v>604</v>
      </c>
      <c r="E64" t="s">
        <v>622</v>
      </c>
      <c r="F64" s="1">
        <v>0</v>
      </c>
    </row>
    <row r="65" spans="1:6" x14ac:dyDescent="0.3">
      <c r="A65" s="2">
        <v>43874</v>
      </c>
      <c r="B65" s="42">
        <v>0.83472222222222225</v>
      </c>
      <c r="C65" t="s">
        <v>649</v>
      </c>
      <c r="D65" t="s">
        <v>587</v>
      </c>
      <c r="E65" t="s">
        <v>586</v>
      </c>
      <c r="F65" s="1">
        <v>2</v>
      </c>
    </row>
    <row r="66" spans="1:6" x14ac:dyDescent="0.3">
      <c r="A66" s="2">
        <v>43875</v>
      </c>
      <c r="B66" s="42">
        <v>0.49513888888888885</v>
      </c>
      <c r="C66" t="s">
        <v>649</v>
      </c>
      <c r="D66" t="s">
        <v>602</v>
      </c>
      <c r="E66" t="s">
        <v>622</v>
      </c>
      <c r="F66" s="1">
        <v>0</v>
      </c>
    </row>
    <row r="67" spans="1:6" x14ac:dyDescent="0.3">
      <c r="A67" s="2">
        <v>43875</v>
      </c>
      <c r="B67" s="42">
        <v>0.65625</v>
      </c>
      <c r="C67" t="s">
        <v>652</v>
      </c>
      <c r="D67" t="s">
        <v>587</v>
      </c>
      <c r="E67" t="s">
        <v>586</v>
      </c>
      <c r="F67" s="1">
        <v>0</v>
      </c>
    </row>
    <row r="68" spans="1:6" x14ac:dyDescent="0.3">
      <c r="A68" s="2">
        <v>43876</v>
      </c>
      <c r="B68" s="42">
        <v>3.2638888888888891E-2</v>
      </c>
      <c r="C68" t="s">
        <v>649</v>
      </c>
      <c r="D68" t="s">
        <v>604</v>
      </c>
      <c r="E68" t="s">
        <v>622</v>
      </c>
      <c r="F68" s="1">
        <v>0</v>
      </c>
    </row>
    <row r="69" spans="1:6" x14ac:dyDescent="0.3">
      <c r="A69" s="2">
        <v>43876</v>
      </c>
      <c r="B69" s="42">
        <v>0.57361111111111118</v>
      </c>
      <c r="C69" t="s">
        <v>650</v>
      </c>
      <c r="D69" t="s">
        <v>592</v>
      </c>
      <c r="E69" t="s">
        <v>586</v>
      </c>
      <c r="F69" s="1">
        <v>0</v>
      </c>
    </row>
    <row r="70" spans="1:6" x14ac:dyDescent="0.3">
      <c r="A70" s="2">
        <v>43880</v>
      </c>
      <c r="B70" s="42">
        <v>0</v>
      </c>
      <c r="C70" t="s">
        <v>649</v>
      </c>
      <c r="D70" t="s">
        <v>604</v>
      </c>
      <c r="E70" t="s">
        <v>591</v>
      </c>
      <c r="F70" s="1">
        <v>0</v>
      </c>
    </row>
    <row r="71" spans="1:6" x14ac:dyDescent="0.3">
      <c r="A71" s="2">
        <v>43880</v>
      </c>
      <c r="B71" s="42">
        <v>0.52083333333333337</v>
      </c>
      <c r="C71" t="s">
        <v>650</v>
      </c>
      <c r="D71" t="s">
        <v>609</v>
      </c>
      <c r="E71" t="s">
        <v>586</v>
      </c>
      <c r="F71" s="1">
        <v>0</v>
      </c>
    </row>
    <row r="72" spans="1:6" x14ac:dyDescent="0.3">
      <c r="A72" s="2">
        <v>43880</v>
      </c>
      <c r="B72" s="42">
        <v>0.70486111111111116</v>
      </c>
      <c r="C72" t="s">
        <v>652</v>
      </c>
      <c r="D72" t="s">
        <v>587</v>
      </c>
      <c r="E72" t="s">
        <v>586</v>
      </c>
      <c r="F72" s="1">
        <v>0</v>
      </c>
    </row>
    <row r="73" spans="1:6" x14ac:dyDescent="0.3">
      <c r="A73" s="2">
        <v>43883</v>
      </c>
      <c r="B73" s="42">
        <v>0.89513888888888893</v>
      </c>
      <c r="C73" t="s">
        <v>649</v>
      </c>
      <c r="D73" t="s">
        <v>609</v>
      </c>
      <c r="E73" t="s">
        <v>586</v>
      </c>
      <c r="F73" s="1">
        <v>0</v>
      </c>
    </row>
    <row r="74" spans="1:6" x14ac:dyDescent="0.3">
      <c r="A74" s="2">
        <v>43885</v>
      </c>
      <c r="B74" s="42">
        <v>0.48680555555555555</v>
      </c>
      <c r="C74" t="s">
        <v>649</v>
      </c>
      <c r="D74" t="s">
        <v>602</v>
      </c>
      <c r="E74" t="s">
        <v>586</v>
      </c>
      <c r="F74" s="1">
        <v>0</v>
      </c>
    </row>
    <row r="75" spans="1:6" x14ac:dyDescent="0.3">
      <c r="A75" s="2">
        <v>43886</v>
      </c>
      <c r="B75" s="42">
        <v>0.48541666666666666</v>
      </c>
      <c r="C75" t="s">
        <v>652</v>
      </c>
      <c r="D75" t="s">
        <v>587</v>
      </c>
      <c r="E75" t="s">
        <v>622</v>
      </c>
      <c r="F75" s="1">
        <v>0</v>
      </c>
    </row>
    <row r="76" spans="1:6" x14ac:dyDescent="0.3">
      <c r="A76" s="2">
        <v>43887</v>
      </c>
      <c r="B76" s="42">
        <v>0.36805555555555558</v>
      </c>
      <c r="C76" t="s">
        <v>649</v>
      </c>
      <c r="D76" t="s">
        <v>587</v>
      </c>
      <c r="E76" t="s">
        <v>586</v>
      </c>
      <c r="F76" s="1">
        <v>0</v>
      </c>
    </row>
    <row r="77" spans="1:6" x14ac:dyDescent="0.3">
      <c r="A77" s="2">
        <v>43887</v>
      </c>
      <c r="B77" s="42">
        <v>0.4375</v>
      </c>
      <c r="C77" t="s">
        <v>649</v>
      </c>
      <c r="D77" t="s">
        <v>592</v>
      </c>
      <c r="E77" t="s">
        <v>608</v>
      </c>
      <c r="F77" s="1">
        <v>0</v>
      </c>
    </row>
    <row r="78" spans="1:6" x14ac:dyDescent="0.3">
      <c r="A78" s="2">
        <v>43888</v>
      </c>
      <c r="B78" s="42">
        <v>0.42708333333333331</v>
      </c>
      <c r="C78" t="s">
        <v>649</v>
      </c>
      <c r="D78" t="s">
        <v>587</v>
      </c>
      <c r="E78" t="s">
        <v>586</v>
      </c>
      <c r="F78" s="1">
        <v>0</v>
      </c>
    </row>
    <row r="79" spans="1:6" x14ac:dyDescent="0.3">
      <c r="A79" s="2">
        <v>43888</v>
      </c>
      <c r="B79" s="42">
        <v>0.89583333333333337</v>
      </c>
      <c r="C79" t="s">
        <v>649</v>
      </c>
      <c r="D79" t="s">
        <v>609</v>
      </c>
      <c r="E79" t="s">
        <v>622</v>
      </c>
      <c r="F79" s="1">
        <v>0</v>
      </c>
    </row>
    <row r="80" spans="1:6" x14ac:dyDescent="0.3">
      <c r="A80" s="2">
        <v>43889</v>
      </c>
      <c r="B80" s="42">
        <v>0.52847222222222223</v>
      </c>
      <c r="C80" t="s">
        <v>651</v>
      </c>
      <c r="D80" t="s">
        <v>587</v>
      </c>
      <c r="E80" t="s">
        <v>586</v>
      </c>
      <c r="F80" s="1">
        <v>0</v>
      </c>
    </row>
    <row r="81" spans="1:6" x14ac:dyDescent="0.3">
      <c r="A81" s="2">
        <v>43889</v>
      </c>
      <c r="B81" s="42">
        <v>0.72916666666666663</v>
      </c>
      <c r="C81" t="s">
        <v>649</v>
      </c>
      <c r="D81" t="s">
        <v>609</v>
      </c>
      <c r="E81" t="s">
        <v>622</v>
      </c>
      <c r="F81" s="1">
        <v>0</v>
      </c>
    </row>
    <row r="82" spans="1:6" x14ac:dyDescent="0.3">
      <c r="A82" s="2">
        <v>43889</v>
      </c>
      <c r="B82" s="42">
        <v>0.83333333333333337</v>
      </c>
      <c r="C82" t="s">
        <v>652</v>
      </c>
      <c r="D82" t="s">
        <v>587</v>
      </c>
      <c r="E82" t="s">
        <v>586</v>
      </c>
      <c r="F82" s="1">
        <v>0</v>
      </c>
    </row>
    <row r="83" spans="1:6" x14ac:dyDescent="0.3">
      <c r="A83" s="2">
        <v>43890</v>
      </c>
      <c r="B83" s="42">
        <v>9.0277777777777776E-2</v>
      </c>
      <c r="C83" t="s">
        <v>650</v>
      </c>
      <c r="D83" t="s">
        <v>587</v>
      </c>
      <c r="E83" t="s">
        <v>586</v>
      </c>
      <c r="F83" s="1">
        <v>0</v>
      </c>
    </row>
    <row r="84" spans="1:6" x14ac:dyDescent="0.3">
      <c r="A84" s="2">
        <v>43890</v>
      </c>
      <c r="B84" s="42">
        <v>0.66180555555555554</v>
      </c>
      <c r="C84" t="s">
        <v>649</v>
      </c>
      <c r="D84" t="s">
        <v>587</v>
      </c>
      <c r="E84" t="s">
        <v>591</v>
      </c>
      <c r="F84" s="1">
        <v>0</v>
      </c>
    </row>
    <row r="85" spans="1:6" x14ac:dyDescent="0.3">
      <c r="A85" s="2">
        <v>43890</v>
      </c>
      <c r="B85" s="42">
        <v>0.96527777777777779</v>
      </c>
      <c r="C85" t="s">
        <v>649</v>
      </c>
      <c r="D85" t="s">
        <v>587</v>
      </c>
      <c r="E85" t="s">
        <v>622</v>
      </c>
      <c r="F85" s="1">
        <v>0</v>
      </c>
    </row>
    <row r="86" spans="1:6" x14ac:dyDescent="0.3">
      <c r="A86" s="2">
        <v>43891</v>
      </c>
      <c r="B86" s="42">
        <v>7.9166666666666663E-2</v>
      </c>
      <c r="C86" t="s">
        <v>649</v>
      </c>
      <c r="D86" t="s">
        <v>587</v>
      </c>
      <c r="E86" t="s">
        <v>586</v>
      </c>
      <c r="F86" s="1">
        <v>0</v>
      </c>
    </row>
    <row r="87" spans="1:6" x14ac:dyDescent="0.3">
      <c r="A87" s="2">
        <v>43891</v>
      </c>
      <c r="B87" s="42">
        <v>0.8041666666666667</v>
      </c>
      <c r="C87" t="s">
        <v>651</v>
      </c>
      <c r="D87" t="s">
        <v>592</v>
      </c>
      <c r="E87" t="s">
        <v>608</v>
      </c>
      <c r="F87" s="1">
        <v>0</v>
      </c>
    </row>
    <row r="88" spans="1:6" x14ac:dyDescent="0.3">
      <c r="A88" s="2">
        <v>43891</v>
      </c>
      <c r="B88" s="42">
        <v>0.84027777777777779</v>
      </c>
      <c r="C88" t="s">
        <v>652</v>
      </c>
      <c r="D88" t="s">
        <v>604</v>
      </c>
      <c r="E88" t="s">
        <v>586</v>
      </c>
      <c r="F88" s="1">
        <v>0</v>
      </c>
    </row>
    <row r="89" spans="1:6" x14ac:dyDescent="0.3">
      <c r="A89" s="2">
        <v>43891</v>
      </c>
      <c r="B89" s="42">
        <v>0.91666666666666663</v>
      </c>
      <c r="C89" t="s">
        <v>649</v>
      </c>
      <c r="D89" t="s">
        <v>587</v>
      </c>
      <c r="E89" t="s">
        <v>622</v>
      </c>
      <c r="F89" s="1">
        <v>0</v>
      </c>
    </row>
    <row r="90" spans="1:6" x14ac:dyDescent="0.3">
      <c r="A90" s="2">
        <v>43892</v>
      </c>
      <c r="B90" s="42">
        <v>0.47986111111111113</v>
      </c>
      <c r="C90" t="s">
        <v>649</v>
      </c>
      <c r="D90" t="s">
        <v>587</v>
      </c>
      <c r="E90" t="s">
        <v>586</v>
      </c>
      <c r="F90" s="1">
        <v>0</v>
      </c>
    </row>
    <row r="91" spans="1:6" x14ac:dyDescent="0.3">
      <c r="A91" s="2">
        <v>43892</v>
      </c>
      <c r="B91" s="42">
        <v>0.5</v>
      </c>
      <c r="C91" t="s">
        <v>649</v>
      </c>
      <c r="D91" t="s">
        <v>627</v>
      </c>
      <c r="E91" t="s">
        <v>624</v>
      </c>
      <c r="F91" s="1">
        <v>0</v>
      </c>
    </row>
    <row r="92" spans="1:6" x14ac:dyDescent="0.3">
      <c r="A92" s="2">
        <v>43892</v>
      </c>
      <c r="B92" s="42">
        <v>0.61805555555555558</v>
      </c>
      <c r="C92" t="s">
        <v>649</v>
      </c>
      <c r="D92" t="s">
        <v>609</v>
      </c>
      <c r="E92" t="s">
        <v>622</v>
      </c>
      <c r="F92" s="1">
        <v>0</v>
      </c>
    </row>
    <row r="93" spans="1:6" x14ac:dyDescent="0.3">
      <c r="A93" s="2">
        <v>43893</v>
      </c>
      <c r="B93" s="42">
        <v>0.3611111111111111</v>
      </c>
      <c r="C93" t="s">
        <v>650</v>
      </c>
      <c r="D93" t="s">
        <v>606</v>
      </c>
      <c r="E93" t="s">
        <v>586</v>
      </c>
      <c r="F93" s="1">
        <v>0</v>
      </c>
    </row>
    <row r="94" spans="1:6" x14ac:dyDescent="0.3">
      <c r="A94" s="2">
        <v>43893</v>
      </c>
      <c r="B94" s="42">
        <v>0.85069444444444453</v>
      </c>
      <c r="C94" t="s">
        <v>649</v>
      </c>
      <c r="D94" t="s">
        <v>587</v>
      </c>
      <c r="E94" t="s">
        <v>622</v>
      </c>
      <c r="F94" s="1">
        <v>0</v>
      </c>
    </row>
    <row r="95" spans="1:6" x14ac:dyDescent="0.3">
      <c r="A95" s="2">
        <v>43894</v>
      </c>
      <c r="B95" s="42">
        <v>3.472222222222222E-3</v>
      </c>
      <c r="C95" t="s">
        <v>652</v>
      </c>
      <c r="D95" t="s">
        <v>588</v>
      </c>
      <c r="E95" t="s">
        <v>601</v>
      </c>
      <c r="F95" s="1">
        <v>0</v>
      </c>
    </row>
    <row r="96" spans="1:6" x14ac:dyDescent="0.3">
      <c r="A96" s="2">
        <v>43895</v>
      </c>
      <c r="B96" s="42">
        <v>0.47916666666666669</v>
      </c>
      <c r="C96" t="s">
        <v>649</v>
      </c>
      <c r="D96" t="s">
        <v>604</v>
      </c>
      <c r="E96" t="s">
        <v>601</v>
      </c>
      <c r="F96" s="1">
        <v>0</v>
      </c>
    </row>
    <row r="97" spans="1:6" x14ac:dyDescent="0.3">
      <c r="A97" s="2">
        <v>43896</v>
      </c>
      <c r="B97" s="42">
        <v>2.2222222222222223E-2</v>
      </c>
      <c r="C97" t="s">
        <v>649</v>
      </c>
      <c r="D97" t="s">
        <v>596</v>
      </c>
      <c r="E97" t="s">
        <v>622</v>
      </c>
      <c r="F97" s="1">
        <v>0</v>
      </c>
    </row>
    <row r="98" spans="1:6" x14ac:dyDescent="0.3">
      <c r="A98" s="2">
        <v>43896</v>
      </c>
      <c r="B98" s="42">
        <v>9.7916666666666666E-2</v>
      </c>
      <c r="C98" t="s">
        <v>649</v>
      </c>
      <c r="D98" t="s">
        <v>619</v>
      </c>
      <c r="E98" t="s">
        <v>598</v>
      </c>
      <c r="F98" s="1">
        <v>0</v>
      </c>
    </row>
    <row r="99" spans="1:6" x14ac:dyDescent="0.3">
      <c r="A99" s="2">
        <v>43896</v>
      </c>
      <c r="B99" s="42">
        <v>0.88194444444444453</v>
      </c>
      <c r="C99" t="s">
        <v>652</v>
      </c>
      <c r="D99" t="s">
        <v>587</v>
      </c>
      <c r="E99" t="s">
        <v>586</v>
      </c>
      <c r="F99" s="1">
        <v>1</v>
      </c>
    </row>
    <row r="100" spans="1:6" x14ac:dyDescent="0.3">
      <c r="A100" s="2">
        <v>43896</v>
      </c>
      <c r="B100" s="42">
        <v>0.89930555555555547</v>
      </c>
      <c r="C100" t="s">
        <v>649</v>
      </c>
      <c r="D100" t="s">
        <v>599</v>
      </c>
      <c r="E100" t="s">
        <v>586</v>
      </c>
      <c r="F100" s="1">
        <v>0</v>
      </c>
    </row>
    <row r="101" spans="1:6" x14ac:dyDescent="0.3">
      <c r="A101" s="2">
        <v>43897</v>
      </c>
      <c r="B101" s="42">
        <v>0.57708333333333328</v>
      </c>
      <c r="C101" t="s">
        <v>649</v>
      </c>
      <c r="D101" t="s">
        <v>588</v>
      </c>
      <c r="E101" t="s">
        <v>586</v>
      </c>
      <c r="F101" s="1">
        <v>0</v>
      </c>
    </row>
    <row r="102" spans="1:6" x14ac:dyDescent="0.3">
      <c r="A102" s="2">
        <v>43898</v>
      </c>
      <c r="B102" s="42">
        <v>0.14861111111111111</v>
      </c>
      <c r="C102" t="s">
        <v>649</v>
      </c>
      <c r="D102" t="s">
        <v>609</v>
      </c>
      <c r="E102" t="s">
        <v>622</v>
      </c>
      <c r="F102" s="1">
        <v>0</v>
      </c>
    </row>
    <row r="103" spans="1:6" x14ac:dyDescent="0.3">
      <c r="A103" s="2">
        <v>43898</v>
      </c>
      <c r="B103" s="42">
        <v>0.22361111111111109</v>
      </c>
      <c r="C103" t="s">
        <v>652</v>
      </c>
      <c r="D103" t="s">
        <v>604</v>
      </c>
      <c r="E103" t="s">
        <v>586</v>
      </c>
      <c r="F103" s="1">
        <v>0</v>
      </c>
    </row>
    <row r="104" spans="1:6" x14ac:dyDescent="0.3">
      <c r="A104" s="2">
        <v>43898</v>
      </c>
      <c r="B104" s="42">
        <v>0.83333333333333337</v>
      </c>
      <c r="C104" t="s">
        <v>649</v>
      </c>
      <c r="D104" t="s">
        <v>606</v>
      </c>
      <c r="E104" t="s">
        <v>622</v>
      </c>
      <c r="F104" s="1">
        <v>0</v>
      </c>
    </row>
    <row r="105" spans="1:6" x14ac:dyDescent="0.3">
      <c r="A105" s="2">
        <v>43898</v>
      </c>
      <c r="B105" s="42">
        <v>0.90972222222222221</v>
      </c>
      <c r="C105" t="s">
        <v>649</v>
      </c>
      <c r="D105" t="s">
        <v>587</v>
      </c>
      <c r="E105" t="s">
        <v>586</v>
      </c>
      <c r="F105" s="1">
        <v>0</v>
      </c>
    </row>
    <row r="106" spans="1:6" x14ac:dyDescent="0.3">
      <c r="A106" s="2">
        <v>43899</v>
      </c>
      <c r="B106" s="42">
        <v>2.013888888888889E-2</v>
      </c>
      <c r="C106" t="s">
        <v>649</v>
      </c>
      <c r="D106" t="s">
        <v>587</v>
      </c>
      <c r="E106" t="s">
        <v>586</v>
      </c>
      <c r="F106" s="1">
        <v>1</v>
      </c>
    </row>
    <row r="107" spans="1:6" x14ac:dyDescent="0.3">
      <c r="A107" s="2">
        <v>43899</v>
      </c>
      <c r="B107" s="42">
        <v>0.7416666666666667</v>
      </c>
      <c r="C107" t="s">
        <v>651</v>
      </c>
      <c r="D107" t="s">
        <v>592</v>
      </c>
      <c r="E107" t="s">
        <v>586</v>
      </c>
      <c r="F107" s="1">
        <v>0</v>
      </c>
    </row>
    <row r="108" spans="1:6" x14ac:dyDescent="0.3">
      <c r="A108" s="2">
        <v>43900</v>
      </c>
      <c r="B108" s="42">
        <v>0.78194444444444444</v>
      </c>
      <c r="C108" t="s">
        <v>649</v>
      </c>
      <c r="D108" t="s">
        <v>604</v>
      </c>
      <c r="E108" t="s">
        <v>586</v>
      </c>
      <c r="F108" s="1">
        <v>0</v>
      </c>
    </row>
    <row r="109" spans="1:6" x14ac:dyDescent="0.3">
      <c r="A109" s="2">
        <v>43901</v>
      </c>
      <c r="B109" s="42">
        <v>0.53055555555555556</v>
      </c>
      <c r="C109" t="s">
        <v>649</v>
      </c>
      <c r="D109" t="s">
        <v>585</v>
      </c>
      <c r="E109" t="s">
        <v>586</v>
      </c>
      <c r="F109" s="1">
        <v>0</v>
      </c>
    </row>
    <row r="110" spans="1:6" x14ac:dyDescent="0.3">
      <c r="A110" s="2">
        <v>43901</v>
      </c>
      <c r="B110" s="42">
        <v>0.68402777777777779</v>
      </c>
      <c r="C110" t="s">
        <v>649</v>
      </c>
      <c r="D110" t="s">
        <v>587</v>
      </c>
      <c r="E110" t="s">
        <v>586</v>
      </c>
      <c r="F110" s="1">
        <v>0</v>
      </c>
    </row>
    <row r="111" spans="1:6" x14ac:dyDescent="0.3">
      <c r="A111" s="2">
        <v>43901</v>
      </c>
      <c r="B111" s="42">
        <v>0.70833333333333337</v>
      </c>
      <c r="C111" t="s">
        <v>649</v>
      </c>
      <c r="D111" t="s">
        <v>609</v>
      </c>
      <c r="E111" t="s">
        <v>586</v>
      </c>
      <c r="F111" s="1">
        <v>2</v>
      </c>
    </row>
    <row r="112" spans="1:6" x14ac:dyDescent="0.3">
      <c r="A112" s="2">
        <v>43901</v>
      </c>
      <c r="B112" s="42">
        <v>0.93055555555555547</v>
      </c>
      <c r="C112" t="s">
        <v>649</v>
      </c>
      <c r="D112" t="s">
        <v>587</v>
      </c>
      <c r="E112" t="s">
        <v>591</v>
      </c>
      <c r="F112" s="1">
        <v>1</v>
      </c>
    </row>
    <row r="113" spans="1:6" x14ac:dyDescent="0.3">
      <c r="A113" s="2">
        <v>43902</v>
      </c>
      <c r="B113" s="42">
        <v>0.56944444444444442</v>
      </c>
      <c r="C113" t="s">
        <v>651</v>
      </c>
      <c r="D113" t="s">
        <v>587</v>
      </c>
      <c r="E113" t="s">
        <v>586</v>
      </c>
      <c r="F113" s="1">
        <v>0</v>
      </c>
    </row>
    <row r="114" spans="1:6" x14ac:dyDescent="0.3">
      <c r="A114" s="2">
        <v>43902</v>
      </c>
      <c r="B114" s="42">
        <v>0.99722222222222223</v>
      </c>
      <c r="C114" t="s">
        <v>649</v>
      </c>
      <c r="D114" t="s">
        <v>587</v>
      </c>
      <c r="E114" t="s">
        <v>622</v>
      </c>
      <c r="F114" s="1">
        <v>0</v>
      </c>
    </row>
    <row r="115" spans="1:6" x14ac:dyDescent="0.3">
      <c r="A115" s="2">
        <v>43903</v>
      </c>
      <c r="B115" s="42">
        <v>0.72083333333333333</v>
      </c>
      <c r="C115" t="s">
        <v>649</v>
      </c>
      <c r="D115" t="s">
        <v>587</v>
      </c>
      <c r="E115" t="s">
        <v>622</v>
      </c>
      <c r="F115" s="1">
        <v>0</v>
      </c>
    </row>
    <row r="116" spans="1:6" x14ac:dyDescent="0.3">
      <c r="A116" s="2">
        <v>43903</v>
      </c>
      <c r="B116" s="42">
        <v>0.77430555555555547</v>
      </c>
      <c r="C116" t="s">
        <v>649</v>
      </c>
      <c r="D116" t="s">
        <v>617</v>
      </c>
      <c r="E116" t="s">
        <v>591</v>
      </c>
      <c r="F116" s="1">
        <v>1</v>
      </c>
    </row>
    <row r="117" spans="1:6" x14ac:dyDescent="0.3">
      <c r="A117" s="2">
        <v>43904</v>
      </c>
      <c r="B117" s="42">
        <v>0.44444444444444442</v>
      </c>
      <c r="C117" t="s">
        <v>650</v>
      </c>
      <c r="D117" t="s">
        <v>613</v>
      </c>
      <c r="E117" t="s">
        <v>608</v>
      </c>
      <c r="F117" s="1">
        <v>0</v>
      </c>
    </row>
    <row r="118" spans="1:6" x14ac:dyDescent="0.3">
      <c r="A118" s="2">
        <v>43904</v>
      </c>
      <c r="B118" s="42">
        <v>0.92847222222222225</v>
      </c>
      <c r="C118" t="s">
        <v>651</v>
      </c>
      <c r="D118" t="s">
        <v>587</v>
      </c>
      <c r="E118" t="s">
        <v>607</v>
      </c>
      <c r="F118" s="1">
        <v>2</v>
      </c>
    </row>
    <row r="119" spans="1:6" x14ac:dyDescent="0.3">
      <c r="A119" s="2">
        <v>43905</v>
      </c>
      <c r="B119" s="42">
        <v>0.69444444444444453</v>
      </c>
      <c r="C119" t="s">
        <v>652</v>
      </c>
      <c r="D119" t="s">
        <v>587</v>
      </c>
      <c r="E119" t="s">
        <v>586</v>
      </c>
      <c r="F119" s="1">
        <v>0</v>
      </c>
    </row>
    <row r="120" spans="1:6" x14ac:dyDescent="0.3">
      <c r="A120" s="2">
        <v>43906</v>
      </c>
      <c r="B120" s="42">
        <v>3.0555555555555555E-2</v>
      </c>
      <c r="C120" t="s">
        <v>649</v>
      </c>
      <c r="D120" t="s">
        <v>587</v>
      </c>
      <c r="E120" t="s">
        <v>598</v>
      </c>
      <c r="F120" s="1">
        <v>0</v>
      </c>
    </row>
    <row r="121" spans="1:6" x14ac:dyDescent="0.3">
      <c r="A121" s="2">
        <v>43910</v>
      </c>
      <c r="B121" s="42">
        <v>0</v>
      </c>
      <c r="C121" t="s">
        <v>649</v>
      </c>
      <c r="D121" t="s">
        <v>611</v>
      </c>
      <c r="E121" t="s">
        <v>591</v>
      </c>
      <c r="F121" s="1">
        <v>1</v>
      </c>
    </row>
    <row r="122" spans="1:6" x14ac:dyDescent="0.3">
      <c r="A122" s="2">
        <v>43910</v>
      </c>
      <c r="B122" s="42">
        <v>0.36805555555555558</v>
      </c>
      <c r="C122" t="s">
        <v>649</v>
      </c>
      <c r="D122" t="s">
        <v>587</v>
      </c>
      <c r="E122" t="s">
        <v>586</v>
      </c>
      <c r="F122" s="1">
        <v>1</v>
      </c>
    </row>
    <row r="123" spans="1:6" x14ac:dyDescent="0.3">
      <c r="A123" s="2">
        <v>43911</v>
      </c>
      <c r="B123" s="42">
        <v>0.65277777777777779</v>
      </c>
      <c r="C123" t="s">
        <v>649</v>
      </c>
      <c r="D123" t="s">
        <v>602</v>
      </c>
      <c r="E123" t="s">
        <v>601</v>
      </c>
      <c r="F123" s="1">
        <v>0</v>
      </c>
    </row>
    <row r="124" spans="1:6" x14ac:dyDescent="0.3">
      <c r="A124" s="2">
        <v>43911</v>
      </c>
      <c r="B124" s="42">
        <v>0.875</v>
      </c>
      <c r="C124" t="s">
        <v>651</v>
      </c>
      <c r="D124" t="s">
        <v>587</v>
      </c>
      <c r="E124" t="s">
        <v>586</v>
      </c>
      <c r="F124" s="1">
        <v>0</v>
      </c>
    </row>
    <row r="125" spans="1:6" x14ac:dyDescent="0.3">
      <c r="A125" s="2">
        <v>43912</v>
      </c>
      <c r="B125" s="42">
        <v>0.3888888888888889</v>
      </c>
      <c r="C125" t="s">
        <v>651</v>
      </c>
      <c r="D125" t="s">
        <v>609</v>
      </c>
      <c r="E125" t="s">
        <v>586</v>
      </c>
      <c r="F125" s="1">
        <v>1</v>
      </c>
    </row>
    <row r="126" spans="1:6" x14ac:dyDescent="0.3">
      <c r="A126" s="2">
        <v>43917</v>
      </c>
      <c r="B126" s="42">
        <v>0.73402777777777783</v>
      </c>
      <c r="C126" t="s">
        <v>649</v>
      </c>
      <c r="D126" t="s">
        <v>587</v>
      </c>
      <c r="E126" t="s">
        <v>607</v>
      </c>
      <c r="F126" s="1">
        <v>0</v>
      </c>
    </row>
    <row r="127" spans="1:6" x14ac:dyDescent="0.3">
      <c r="A127" s="2">
        <v>43918</v>
      </c>
      <c r="B127" s="42">
        <v>0.625</v>
      </c>
      <c r="C127" t="s">
        <v>650</v>
      </c>
      <c r="D127" t="s">
        <v>587</v>
      </c>
      <c r="E127" t="s">
        <v>586</v>
      </c>
      <c r="F127" s="1">
        <v>0</v>
      </c>
    </row>
    <row r="128" spans="1:6" x14ac:dyDescent="0.3">
      <c r="A128" s="2">
        <v>43918</v>
      </c>
      <c r="B128" s="42">
        <v>0.93055555555555547</v>
      </c>
      <c r="C128" t="s">
        <v>649</v>
      </c>
      <c r="D128" t="s">
        <v>616</v>
      </c>
      <c r="E128" t="s">
        <v>622</v>
      </c>
      <c r="F128" s="1">
        <v>0</v>
      </c>
    </row>
    <row r="129" spans="1:6" x14ac:dyDescent="0.3">
      <c r="A129" s="2">
        <v>43935</v>
      </c>
      <c r="B129" s="42">
        <v>0.85416666666666663</v>
      </c>
      <c r="C129" t="s">
        <v>650</v>
      </c>
      <c r="D129" t="s">
        <v>587</v>
      </c>
      <c r="E129" t="s">
        <v>591</v>
      </c>
      <c r="F129" s="1">
        <v>1</v>
      </c>
    </row>
    <row r="130" spans="1:6" x14ac:dyDescent="0.3">
      <c r="A130" s="2">
        <v>43937</v>
      </c>
      <c r="B130" s="42">
        <v>0.51736111111111105</v>
      </c>
      <c r="C130" t="s">
        <v>651</v>
      </c>
      <c r="D130" t="s">
        <v>595</v>
      </c>
      <c r="E130" t="s">
        <v>628</v>
      </c>
      <c r="F130" s="1">
        <v>1</v>
      </c>
    </row>
    <row r="131" spans="1:6" x14ac:dyDescent="0.3">
      <c r="A131" s="2">
        <v>43951</v>
      </c>
      <c r="B131" s="42">
        <v>0.27013888888888887</v>
      </c>
      <c r="C131" t="s">
        <v>649</v>
      </c>
      <c r="D131" t="s">
        <v>587</v>
      </c>
      <c r="E131" t="s">
        <v>622</v>
      </c>
      <c r="F131" s="1">
        <v>0</v>
      </c>
    </row>
    <row r="132" spans="1:6" x14ac:dyDescent="0.3">
      <c r="A132" s="2">
        <v>43953</v>
      </c>
      <c r="B132" s="42">
        <v>0.61597222222222225</v>
      </c>
      <c r="C132" t="s">
        <v>649</v>
      </c>
      <c r="D132" t="s">
        <v>587</v>
      </c>
      <c r="E132" t="s">
        <v>591</v>
      </c>
      <c r="F132" s="1">
        <v>1</v>
      </c>
    </row>
    <row r="133" spans="1:6" x14ac:dyDescent="0.3">
      <c r="A133" s="2">
        <v>43964</v>
      </c>
      <c r="B133" s="42">
        <v>0.89583333333333337</v>
      </c>
      <c r="C133" t="s">
        <v>651</v>
      </c>
      <c r="D133" t="s">
        <v>609</v>
      </c>
      <c r="E133" t="s">
        <v>586</v>
      </c>
      <c r="F133" s="1">
        <v>3</v>
      </c>
    </row>
    <row r="134" spans="1:6" x14ac:dyDescent="0.3">
      <c r="A134" s="2">
        <v>43964</v>
      </c>
      <c r="B134" s="42">
        <v>0.94305555555555554</v>
      </c>
      <c r="C134" t="s">
        <v>650</v>
      </c>
      <c r="D134" t="s">
        <v>592</v>
      </c>
      <c r="E134" t="s">
        <v>586</v>
      </c>
      <c r="F134" s="1">
        <v>0</v>
      </c>
    </row>
    <row r="135" spans="1:6" x14ac:dyDescent="0.3">
      <c r="A135" s="2">
        <v>43967</v>
      </c>
      <c r="B135" s="42">
        <v>0.70833333333333337</v>
      </c>
      <c r="C135" t="s">
        <v>651</v>
      </c>
      <c r="D135" t="s">
        <v>596</v>
      </c>
      <c r="E135" t="s">
        <v>591</v>
      </c>
      <c r="F135" s="1">
        <v>1</v>
      </c>
    </row>
    <row r="136" spans="1:6" x14ac:dyDescent="0.3">
      <c r="A136" s="2">
        <v>43969</v>
      </c>
      <c r="B136" s="42">
        <v>0.65347222222222223</v>
      </c>
      <c r="C136" t="s">
        <v>651</v>
      </c>
      <c r="D136" t="s">
        <v>599</v>
      </c>
      <c r="E136" t="s">
        <v>586</v>
      </c>
      <c r="F136" s="1">
        <v>0</v>
      </c>
    </row>
    <row r="137" spans="1:6" x14ac:dyDescent="0.3">
      <c r="A137" s="2">
        <v>43971</v>
      </c>
      <c r="B137" s="42">
        <v>0.15486111111111112</v>
      </c>
      <c r="C137" t="s">
        <v>650</v>
      </c>
      <c r="D137" t="s">
        <v>588</v>
      </c>
      <c r="E137" t="s">
        <v>605</v>
      </c>
      <c r="F137" s="1">
        <v>0</v>
      </c>
    </row>
    <row r="138" spans="1:6" x14ac:dyDescent="0.3">
      <c r="A138" s="2">
        <v>43973</v>
      </c>
      <c r="B138" s="42">
        <v>0.99722222222222223</v>
      </c>
      <c r="C138" t="s">
        <v>650</v>
      </c>
      <c r="D138" t="s">
        <v>587</v>
      </c>
      <c r="E138" t="s">
        <v>586</v>
      </c>
      <c r="F138" s="1">
        <v>1</v>
      </c>
    </row>
    <row r="139" spans="1:6" x14ac:dyDescent="0.3">
      <c r="A139" s="2">
        <v>43974</v>
      </c>
      <c r="B139" s="42">
        <v>0.72916666666666663</v>
      </c>
      <c r="C139" t="s">
        <v>652</v>
      </c>
      <c r="D139" t="s">
        <v>606</v>
      </c>
      <c r="E139" t="s">
        <v>586</v>
      </c>
      <c r="F139" s="1">
        <v>0</v>
      </c>
    </row>
    <row r="140" spans="1:6" x14ac:dyDescent="0.3">
      <c r="A140" s="2">
        <v>43976</v>
      </c>
      <c r="B140" s="42">
        <v>0.78819444444444453</v>
      </c>
      <c r="C140" t="s">
        <v>651</v>
      </c>
      <c r="D140" t="s">
        <v>609</v>
      </c>
      <c r="E140" t="s">
        <v>586</v>
      </c>
      <c r="F140" s="1">
        <v>0</v>
      </c>
    </row>
    <row r="141" spans="1:6" x14ac:dyDescent="0.3">
      <c r="A141" s="2">
        <v>43982</v>
      </c>
      <c r="B141" s="42">
        <v>3.125E-2</v>
      </c>
      <c r="C141" t="s">
        <v>652</v>
      </c>
      <c r="D141" t="s">
        <v>609</v>
      </c>
      <c r="E141" t="s">
        <v>586</v>
      </c>
      <c r="F141" s="1">
        <v>0</v>
      </c>
    </row>
    <row r="142" spans="1:6" x14ac:dyDescent="0.3">
      <c r="A142" s="2">
        <v>43982</v>
      </c>
      <c r="B142" s="42">
        <v>9.6527777777777768E-2</v>
      </c>
      <c r="C142" t="s">
        <v>650</v>
      </c>
      <c r="D142" t="s">
        <v>609</v>
      </c>
      <c r="E142" t="s">
        <v>586</v>
      </c>
      <c r="F142" s="1">
        <v>2</v>
      </c>
    </row>
    <row r="143" spans="1:6" x14ac:dyDescent="0.3">
      <c r="A143" s="2">
        <v>43995</v>
      </c>
      <c r="B143" s="42">
        <v>0.87847222222222221</v>
      </c>
      <c r="C143" t="s">
        <v>649</v>
      </c>
      <c r="D143" t="s">
        <v>596</v>
      </c>
      <c r="E143" t="s">
        <v>591</v>
      </c>
      <c r="F143" s="1">
        <v>1</v>
      </c>
    </row>
    <row r="144" spans="1:6" x14ac:dyDescent="0.3">
      <c r="A144" s="2">
        <v>43998</v>
      </c>
      <c r="B144" s="42">
        <v>0.92708333333333337</v>
      </c>
      <c r="C144" t="s">
        <v>649</v>
      </c>
      <c r="D144" t="s">
        <v>592</v>
      </c>
      <c r="E144" t="s">
        <v>586</v>
      </c>
      <c r="F144" s="1">
        <v>2</v>
      </c>
    </row>
    <row r="145" spans="1:6" x14ac:dyDescent="0.3">
      <c r="A145" s="2">
        <v>44007</v>
      </c>
      <c r="B145" s="42">
        <v>0.15069444444444444</v>
      </c>
      <c r="C145" t="s">
        <v>649</v>
      </c>
      <c r="D145" t="s">
        <v>587</v>
      </c>
      <c r="E145" t="s">
        <v>591</v>
      </c>
      <c r="F145" s="1">
        <v>1</v>
      </c>
    </row>
    <row r="146" spans="1:6" x14ac:dyDescent="0.3">
      <c r="A146" s="2">
        <v>44007</v>
      </c>
      <c r="B146" s="42">
        <v>0.90763888888888899</v>
      </c>
      <c r="C146" t="s">
        <v>649</v>
      </c>
      <c r="D146" t="s">
        <v>587</v>
      </c>
      <c r="E146" t="s">
        <v>586</v>
      </c>
      <c r="F146" s="1">
        <v>1</v>
      </c>
    </row>
    <row r="147" spans="1:6" x14ac:dyDescent="0.3">
      <c r="A147" s="2">
        <v>44013</v>
      </c>
      <c r="B147" s="42">
        <v>6.5972222222222224E-2</v>
      </c>
      <c r="C147" t="s">
        <v>649</v>
      </c>
      <c r="D147" t="s">
        <v>593</v>
      </c>
      <c r="E147" t="s">
        <v>586</v>
      </c>
      <c r="F147" s="1">
        <v>2</v>
      </c>
    </row>
    <row r="148" spans="1:6" x14ac:dyDescent="0.3">
      <c r="A148" s="2">
        <v>44016</v>
      </c>
      <c r="B148" s="42">
        <v>0.71388888888888891</v>
      </c>
      <c r="C148" t="s">
        <v>651</v>
      </c>
      <c r="D148" t="s">
        <v>587</v>
      </c>
      <c r="E148" t="s">
        <v>607</v>
      </c>
      <c r="F148" s="1">
        <v>1</v>
      </c>
    </row>
    <row r="149" spans="1:6" x14ac:dyDescent="0.3">
      <c r="A149" s="2">
        <v>44021</v>
      </c>
      <c r="B149" s="42">
        <v>0.55555555555555558</v>
      </c>
      <c r="C149" t="s">
        <v>650</v>
      </c>
      <c r="D149" t="s">
        <v>602</v>
      </c>
      <c r="E149" t="s">
        <v>586</v>
      </c>
      <c r="F149" s="1">
        <v>2</v>
      </c>
    </row>
    <row r="150" spans="1:6" x14ac:dyDescent="0.3">
      <c r="A150" s="2">
        <v>44021</v>
      </c>
      <c r="B150" s="42">
        <v>0.92222222222222217</v>
      </c>
      <c r="C150" t="s">
        <v>649</v>
      </c>
      <c r="D150" t="s">
        <v>587</v>
      </c>
      <c r="E150" t="s">
        <v>586</v>
      </c>
      <c r="F150" s="1">
        <v>5</v>
      </c>
    </row>
    <row r="151" spans="1:6" x14ac:dyDescent="0.3">
      <c r="A151" s="2">
        <v>44023</v>
      </c>
      <c r="B151" s="42">
        <v>0.92986111111111114</v>
      </c>
      <c r="C151" t="s">
        <v>649</v>
      </c>
      <c r="D151" t="s">
        <v>596</v>
      </c>
      <c r="E151" t="s">
        <v>591</v>
      </c>
      <c r="F151" s="1">
        <v>1</v>
      </c>
    </row>
    <row r="152" spans="1:6" x14ac:dyDescent="0.3">
      <c r="A152" s="25"/>
      <c r="B152" s="36"/>
    </row>
    <row r="153" spans="1:6" x14ac:dyDescent="0.3">
      <c r="A153" s="25"/>
      <c r="B153" s="36"/>
    </row>
    <row r="154" spans="1:6" x14ac:dyDescent="0.3">
      <c r="A154" s="25"/>
      <c r="B154" s="36"/>
    </row>
    <row r="155" spans="1:6" x14ac:dyDescent="0.3">
      <c r="A155" s="25"/>
      <c r="B155" s="36"/>
    </row>
    <row r="156" spans="1:6" x14ac:dyDescent="0.3">
      <c r="A156" s="25"/>
      <c r="B156" s="36"/>
    </row>
    <row r="157" spans="1:6" x14ac:dyDescent="0.3">
      <c r="A157" s="25"/>
      <c r="B157" s="36"/>
    </row>
    <row r="158" spans="1:6" x14ac:dyDescent="0.3">
      <c r="A158" s="25"/>
      <c r="B158" s="36"/>
    </row>
    <row r="159" spans="1:6" x14ac:dyDescent="0.3">
      <c r="A159" s="25"/>
      <c r="B159" s="36"/>
    </row>
    <row r="160" spans="1:6" x14ac:dyDescent="0.3">
      <c r="A160" s="25"/>
      <c r="B160" s="36"/>
    </row>
    <row r="161" spans="1:2" x14ac:dyDescent="0.3">
      <c r="A161" s="25"/>
      <c r="B161" s="36"/>
    </row>
    <row r="162" spans="1:2" x14ac:dyDescent="0.3">
      <c r="A162" s="25"/>
      <c r="B162" s="36"/>
    </row>
    <row r="163" spans="1:2" x14ac:dyDescent="0.3">
      <c r="A163" s="25"/>
      <c r="B163" s="36"/>
    </row>
    <row r="164" spans="1:2" x14ac:dyDescent="0.3">
      <c r="A164" s="25"/>
      <c r="B164" s="36"/>
    </row>
    <row r="165" spans="1:2" x14ac:dyDescent="0.3">
      <c r="A165" s="25"/>
      <c r="B165" s="36"/>
    </row>
    <row r="166" spans="1:2" x14ac:dyDescent="0.3">
      <c r="A166" s="25"/>
      <c r="B166" s="36"/>
    </row>
    <row r="167" spans="1:2" x14ac:dyDescent="0.3">
      <c r="A167" s="25"/>
      <c r="B167" s="36"/>
    </row>
    <row r="168" spans="1:2" x14ac:dyDescent="0.3">
      <c r="A168" s="25"/>
      <c r="B168" s="36"/>
    </row>
    <row r="169" spans="1:2" x14ac:dyDescent="0.3">
      <c r="A169" s="25"/>
      <c r="B169" s="36"/>
    </row>
    <row r="170" spans="1:2" x14ac:dyDescent="0.3">
      <c r="A170" s="25"/>
      <c r="B170" s="36"/>
    </row>
    <row r="171" spans="1:2" x14ac:dyDescent="0.3">
      <c r="A171" s="25"/>
      <c r="B171" s="36"/>
    </row>
    <row r="172" spans="1:2" x14ac:dyDescent="0.3">
      <c r="A172" s="25"/>
      <c r="B172" s="36"/>
    </row>
    <row r="173" spans="1:2" x14ac:dyDescent="0.3">
      <c r="A173" s="25"/>
      <c r="B173" s="36"/>
    </row>
    <row r="174" spans="1:2" x14ac:dyDescent="0.3">
      <c r="A174" s="25"/>
      <c r="B174" s="36"/>
    </row>
    <row r="175" spans="1:2" x14ac:dyDescent="0.3">
      <c r="A175" s="25"/>
      <c r="B175" s="36"/>
    </row>
    <row r="176" spans="1:2" x14ac:dyDescent="0.3">
      <c r="A176" s="25"/>
      <c r="B176" s="36"/>
    </row>
    <row r="177" spans="1:2" x14ac:dyDescent="0.3">
      <c r="A177" s="25"/>
      <c r="B177" s="36"/>
    </row>
    <row r="178" spans="1:2" x14ac:dyDescent="0.3">
      <c r="A178" s="25"/>
      <c r="B178" s="36"/>
    </row>
  </sheetData>
  <mergeCells count="1">
    <mergeCell ref="A1:F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DDF73-3B56-4629-AF35-EDCBC90A5F3C}">
  <sheetPr>
    <tabColor rgb="FFFF9999"/>
  </sheetPr>
  <dimension ref="A1:C9"/>
  <sheetViews>
    <sheetView workbookViewId="0">
      <selection sqref="A1:C9"/>
    </sheetView>
  </sheetViews>
  <sheetFormatPr defaultRowHeight="14.4" x14ac:dyDescent="0.3"/>
  <cols>
    <col min="2" max="3" width="11.44140625" customWidth="1"/>
  </cols>
  <sheetData>
    <row r="1" spans="1:3" x14ac:dyDescent="0.3">
      <c r="A1" s="37" t="s">
        <v>630</v>
      </c>
      <c r="B1" s="37" t="s">
        <v>631</v>
      </c>
      <c r="C1" s="37" t="s">
        <v>632</v>
      </c>
    </row>
    <row r="2" spans="1:3" x14ac:dyDescent="0.3">
      <c r="A2" s="1" t="s">
        <v>29</v>
      </c>
      <c r="B2" s="38">
        <v>9506</v>
      </c>
      <c r="C2" s="39">
        <v>0.21992020718135369</v>
      </c>
    </row>
    <row r="3" spans="1:3" x14ac:dyDescent="0.3">
      <c r="A3" s="1" t="s">
        <v>30</v>
      </c>
      <c r="B3" s="38">
        <v>8986</v>
      </c>
      <c r="C3" s="39">
        <v>0.22193802981584332</v>
      </c>
    </row>
    <row r="4" spans="1:3" x14ac:dyDescent="0.3">
      <c r="A4" s="1" t="s">
        <v>31</v>
      </c>
      <c r="B4" s="38">
        <v>7241</v>
      </c>
      <c r="C4" s="39">
        <v>0.21524825902143438</v>
      </c>
    </row>
    <row r="5" spans="1:3" x14ac:dyDescent="0.3">
      <c r="A5" s="1" t="s">
        <v>32</v>
      </c>
      <c r="B5" s="38">
        <v>2598</v>
      </c>
      <c r="C5" s="39">
        <v>0.24562682215743439</v>
      </c>
    </row>
    <row r="6" spans="1:3" x14ac:dyDescent="0.3">
      <c r="A6" s="1" t="s">
        <v>33</v>
      </c>
      <c r="B6" s="38">
        <v>3953</v>
      </c>
      <c r="C6" s="39">
        <v>0.30476500243942106</v>
      </c>
    </row>
    <row r="7" spans="1:3" x14ac:dyDescent="0.3">
      <c r="A7" s="1" t="s">
        <v>34</v>
      </c>
      <c r="B7" s="38">
        <v>5012</v>
      </c>
      <c r="C7" s="39">
        <v>0.35596113445378152</v>
      </c>
    </row>
    <row r="8" spans="1:3" x14ac:dyDescent="0.3">
      <c r="A8" s="1" t="s">
        <v>35</v>
      </c>
      <c r="B8" s="38">
        <v>6128</v>
      </c>
      <c r="C8" s="39">
        <v>0.34731707317073168</v>
      </c>
    </row>
    <row r="9" spans="1:3" x14ac:dyDescent="0.3">
      <c r="A9" s="1" t="s">
        <v>36</v>
      </c>
      <c r="B9" s="38">
        <v>5716</v>
      </c>
      <c r="C9" s="39">
        <v>0.35006287870126901</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E92F0-00A3-41D8-9502-114F6FB9A631}">
  <sheetPr>
    <tabColor rgb="FFFF9999"/>
  </sheetPr>
  <dimension ref="A3:B22"/>
  <sheetViews>
    <sheetView tabSelected="1" workbookViewId="0">
      <selection activeCell="B4" sqref="B4"/>
    </sheetView>
  </sheetViews>
  <sheetFormatPr defaultRowHeight="14.4" x14ac:dyDescent="0.3"/>
  <cols>
    <col min="1" max="1" width="49.109375" bestFit="1" customWidth="1"/>
    <col min="2" max="2" width="25" bestFit="1" customWidth="1"/>
  </cols>
  <sheetData>
    <row r="3" spans="1:2" x14ac:dyDescent="0.3">
      <c r="A3" s="11" t="s">
        <v>583</v>
      </c>
      <c r="B3" t="s">
        <v>625</v>
      </c>
    </row>
    <row r="4" spans="1:2" x14ac:dyDescent="0.3">
      <c r="A4" t="s">
        <v>587</v>
      </c>
      <c r="B4" s="54">
        <v>0.5178571428571429</v>
      </c>
    </row>
    <row r="5" spans="1:2" x14ac:dyDescent="0.3">
      <c r="A5" t="s">
        <v>609</v>
      </c>
      <c r="B5" s="54">
        <v>0.14285714285714285</v>
      </c>
    </row>
    <row r="6" spans="1:2" x14ac:dyDescent="0.3">
      <c r="A6" t="s">
        <v>593</v>
      </c>
      <c r="B6" s="54">
        <v>8.9285714285714288E-2</v>
      </c>
    </row>
    <row r="7" spans="1:2" x14ac:dyDescent="0.3">
      <c r="A7" t="s">
        <v>596</v>
      </c>
      <c r="B7" s="54">
        <v>7.1428571428571425E-2</v>
      </c>
    </row>
    <row r="8" spans="1:2" x14ac:dyDescent="0.3">
      <c r="A8" t="s">
        <v>592</v>
      </c>
      <c r="B8" s="54">
        <v>5.3571428571428568E-2</v>
      </c>
    </row>
    <row r="9" spans="1:2" x14ac:dyDescent="0.3">
      <c r="A9" t="s">
        <v>602</v>
      </c>
      <c r="B9" s="54">
        <v>3.5714285714285712E-2</v>
      </c>
    </row>
    <row r="10" spans="1:2" x14ac:dyDescent="0.3">
      <c r="A10" t="s">
        <v>617</v>
      </c>
      <c r="B10" s="54">
        <v>3.5714285714285712E-2</v>
      </c>
    </row>
    <row r="11" spans="1:2" x14ac:dyDescent="0.3">
      <c r="A11" t="s">
        <v>611</v>
      </c>
      <c r="B11" s="54">
        <v>1.7857142857142856E-2</v>
      </c>
    </row>
    <row r="12" spans="1:2" x14ac:dyDescent="0.3">
      <c r="A12" t="s">
        <v>616</v>
      </c>
      <c r="B12" s="54">
        <v>1.7857142857142856E-2</v>
      </c>
    </row>
    <row r="13" spans="1:2" x14ac:dyDescent="0.3">
      <c r="A13" t="s">
        <v>595</v>
      </c>
      <c r="B13" s="54">
        <v>1.7857142857142856E-2</v>
      </c>
    </row>
    <row r="14" spans="1:2" x14ac:dyDescent="0.3">
      <c r="A14" t="s">
        <v>588</v>
      </c>
      <c r="B14" s="54">
        <v>0</v>
      </c>
    </row>
    <row r="15" spans="1:2" x14ac:dyDescent="0.3">
      <c r="A15" t="s">
        <v>606</v>
      </c>
      <c r="B15" s="54">
        <v>0</v>
      </c>
    </row>
    <row r="16" spans="1:2" x14ac:dyDescent="0.3">
      <c r="A16" t="s">
        <v>599</v>
      </c>
      <c r="B16" s="54">
        <v>0</v>
      </c>
    </row>
    <row r="17" spans="1:2" x14ac:dyDescent="0.3">
      <c r="A17" t="s">
        <v>604</v>
      </c>
      <c r="B17" s="54">
        <v>0</v>
      </c>
    </row>
    <row r="18" spans="1:2" x14ac:dyDescent="0.3">
      <c r="A18" t="s">
        <v>585</v>
      </c>
      <c r="B18" s="54">
        <v>0</v>
      </c>
    </row>
    <row r="19" spans="1:2" x14ac:dyDescent="0.3">
      <c r="A19" t="s">
        <v>619</v>
      </c>
      <c r="B19" s="54">
        <v>0</v>
      </c>
    </row>
    <row r="20" spans="1:2" x14ac:dyDescent="0.3">
      <c r="A20" t="s">
        <v>613</v>
      </c>
      <c r="B20" s="54">
        <v>0</v>
      </c>
    </row>
    <row r="21" spans="1:2" x14ac:dyDescent="0.3">
      <c r="A21" t="s">
        <v>627</v>
      </c>
      <c r="B21" s="54">
        <v>0</v>
      </c>
    </row>
    <row r="22" spans="1:2" x14ac:dyDescent="0.3">
      <c r="A22" t="s">
        <v>28</v>
      </c>
      <c r="B22" s="5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PROJECT 1</vt:lpstr>
      <vt:lpstr>Orders</vt:lpstr>
      <vt:lpstr>Products</vt:lpstr>
      <vt:lpstr>Countries</vt:lpstr>
      <vt:lpstr>Warehouse Extension</vt:lpstr>
      <vt:lpstr>Summary Chart</vt:lpstr>
      <vt:lpstr>PROJECT 2</vt:lpstr>
      <vt:lpstr>Team Selector</vt:lpstr>
      <vt:lpstr>Beer Prices</vt:lpstr>
      <vt:lpstr>Price per Ounce</vt:lpstr>
      <vt:lpstr>PROJECT 3</vt:lpstr>
      <vt:lpstr>Indicators</vt:lpstr>
      <vt:lpstr>Region Summary</vt:lpstr>
      <vt:lpstr>PROJECT 4</vt:lpstr>
      <vt:lpstr>Inventory</vt:lpstr>
      <vt:lpstr>Order Tracker</vt:lpstr>
      <vt:lpstr>PROJECT 5</vt:lpstr>
      <vt:lpstr>Product Sales</vt:lpstr>
      <vt:lpstr>Sales by Store</vt:lpstr>
      <vt:lpstr>New Product</vt:lpstr>
      <vt:lpstr>PROJECT 6</vt:lpstr>
      <vt:lpstr>Van Collisions</vt:lpstr>
      <vt:lpstr>Taxi Collisions</vt:lpstr>
      <vt:lpstr>Monthly Trend</vt:lpstr>
      <vt:lpstr>Collision Causes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Pavithra Sundari</cp:lastModifiedBy>
  <dcterms:created xsi:type="dcterms:W3CDTF">2020-10-07T16:28:27Z</dcterms:created>
  <dcterms:modified xsi:type="dcterms:W3CDTF">2026-03-16T07:35:26Z</dcterms:modified>
</cp:coreProperties>
</file>